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wuwuxiuhao/Desktop/extra-learning/刘冲老师组课题/肿瘤/DeepClustering-main/解卷积数据矫正/"/>
    </mc:Choice>
  </mc:AlternateContent>
  <xr:revisionPtr revIDLastSave="0" documentId="13_ncr:1_{7646664A-C8C8-2944-98A9-7D366858805A}" xr6:coauthVersionLast="47" xr6:coauthVersionMax="47" xr10:uidLastSave="{00000000-0000-0000-0000-000000000000}"/>
  <bookViews>
    <workbookView xWindow="9740" yWindow="760" windowWidth="30240" windowHeight="17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P4" i="1"/>
  <c r="Q4" i="1"/>
  <c r="R4" i="1"/>
  <c r="S4" i="1"/>
  <c r="T4" i="1"/>
  <c r="U4" i="1"/>
  <c r="V4" i="1"/>
  <c r="W4" i="1"/>
  <c r="X4" i="1"/>
  <c r="Y4" i="1"/>
  <c r="Z4" i="1"/>
  <c r="AA4" i="1"/>
  <c r="O5" i="1"/>
  <c r="P5" i="1"/>
  <c r="Q5" i="1"/>
  <c r="R5" i="1"/>
  <c r="S5" i="1"/>
  <c r="T5" i="1"/>
  <c r="U5" i="1"/>
  <c r="V5" i="1"/>
  <c r="W5" i="1"/>
  <c r="X5" i="1"/>
  <c r="Y5" i="1"/>
  <c r="Z5" i="1"/>
  <c r="AA5" i="1"/>
  <c r="O6" i="1"/>
  <c r="P6" i="1"/>
  <c r="Q6" i="1"/>
  <c r="R6" i="1"/>
  <c r="S6" i="1"/>
  <c r="T6" i="1"/>
  <c r="U6" i="1"/>
  <c r="V6" i="1"/>
  <c r="W6" i="1"/>
  <c r="X6" i="1"/>
  <c r="Y6" i="1"/>
  <c r="Z6" i="1"/>
  <c r="AA6" i="1"/>
  <c r="O7" i="1"/>
  <c r="P7" i="1"/>
  <c r="Q7" i="1"/>
  <c r="R7" i="1"/>
  <c r="S7" i="1"/>
  <c r="T7" i="1"/>
  <c r="U7" i="1"/>
  <c r="V7" i="1"/>
  <c r="W7" i="1"/>
  <c r="X7" i="1"/>
  <c r="Y7" i="1"/>
  <c r="Z7" i="1"/>
  <c r="AA7" i="1"/>
  <c r="O8" i="1"/>
  <c r="P8" i="1"/>
  <c r="Q8" i="1"/>
  <c r="R8" i="1"/>
  <c r="S8" i="1"/>
  <c r="T8" i="1"/>
  <c r="U8" i="1"/>
  <c r="V8" i="1"/>
  <c r="W8" i="1"/>
  <c r="X8" i="1"/>
  <c r="Y8" i="1"/>
  <c r="Z8" i="1"/>
  <c r="AA8" i="1"/>
  <c r="O9" i="1"/>
  <c r="P9" i="1"/>
  <c r="Q9" i="1"/>
  <c r="R9" i="1"/>
  <c r="S9" i="1"/>
  <c r="T9" i="1"/>
  <c r="U9" i="1"/>
  <c r="V9" i="1"/>
  <c r="W9" i="1"/>
  <c r="X9" i="1"/>
  <c r="Y9" i="1"/>
  <c r="Z9" i="1"/>
  <c r="AA9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A3" i="1"/>
  <c r="P3" i="1"/>
  <c r="Q3" i="1"/>
  <c r="R3" i="1"/>
  <c r="S3" i="1"/>
  <c r="T3" i="1"/>
  <c r="U3" i="1"/>
  <c r="V3" i="1"/>
  <c r="W3" i="1"/>
  <c r="X3" i="1"/>
  <c r="Y3" i="1"/>
  <c r="Z3" i="1"/>
  <c r="O3" i="1"/>
</calcChain>
</file>

<file path=xl/sharedStrings.xml><?xml version="1.0" encoding="utf-8"?>
<sst xmlns="http://schemas.openxmlformats.org/spreadsheetml/2006/main" count="84" uniqueCount="71">
  <si>
    <t>Unnamed:0</t>
  </si>
  <si>
    <t>Monocytes</t>
  </si>
  <si>
    <t>CytotoxicT.cells</t>
  </si>
  <si>
    <t>RegulatoryT.cells</t>
  </si>
  <si>
    <t>Microglia</t>
  </si>
  <si>
    <t>Macrophages</t>
  </si>
  <si>
    <t>Nk.cells</t>
  </si>
  <si>
    <t>HelperT.cells</t>
  </si>
  <si>
    <t>DC3</t>
  </si>
  <si>
    <t>Bcells</t>
  </si>
  <si>
    <t>DC2</t>
  </si>
  <si>
    <t>DC1</t>
  </si>
  <si>
    <t>DC4</t>
  </si>
  <si>
    <t>Mast.cells</t>
  </si>
  <si>
    <t>P118_Ms11260</t>
  </si>
  <si>
    <t>P124_Ms11904</t>
  </si>
  <si>
    <t>P121_Ms4602</t>
  </si>
  <si>
    <t>P121_Ms4604</t>
  </si>
  <si>
    <t>P201_Ms4607</t>
  </si>
  <si>
    <t>P201_Ms4608</t>
  </si>
  <si>
    <t>P121_Ms4742</t>
  </si>
  <si>
    <t>P121_Ms4743</t>
  </si>
  <si>
    <t>P121_Ms4744</t>
  </si>
  <si>
    <t>P121_Ms4781</t>
  </si>
  <si>
    <t>P119_Ms6620</t>
  </si>
  <si>
    <t>P119_Ms6622</t>
  </si>
  <si>
    <t>P119_Ms6623</t>
  </si>
  <si>
    <t>P119_Ms6718</t>
  </si>
  <si>
    <t>P119_Ms6719</t>
  </si>
  <si>
    <t>P120_Ms6723</t>
  </si>
  <si>
    <t>P120_Ms6796</t>
  </si>
  <si>
    <t>P120_Ms6798</t>
  </si>
  <si>
    <t>P120_Ms6800</t>
  </si>
  <si>
    <t>P120_Ms6801</t>
  </si>
  <si>
    <t>P120_Ms6810</t>
  </si>
  <si>
    <t>P120_Ms6814</t>
  </si>
  <si>
    <t>P119_Ms6862</t>
  </si>
  <si>
    <t>P136_Ms7033</t>
  </si>
  <si>
    <t>P135_Ms7477</t>
  </si>
  <si>
    <t>P140_Ms8122</t>
  </si>
  <si>
    <t>P74_Ms3437</t>
  </si>
  <si>
    <t>P74_Ms3459</t>
  </si>
  <si>
    <t>P74_Ms3468</t>
  </si>
  <si>
    <t>P81_Ms3740</t>
  </si>
  <si>
    <t>P118_Ms4154</t>
  </si>
  <si>
    <t>P118_Ms4155</t>
  </si>
  <si>
    <t>P121_Ms4330</t>
  </si>
  <si>
    <t>P121_Ms4601</t>
  </si>
  <si>
    <t>P201_Ms4609</t>
  </si>
  <si>
    <t>P121_Ms4950.OB</t>
  </si>
  <si>
    <t>P118_Ms11261</t>
  </si>
  <si>
    <t>P113_Ms15262</t>
  </si>
  <si>
    <t>P123_Ms25387</t>
  </si>
  <si>
    <t>P123_Ms27040</t>
  </si>
  <si>
    <t>P132_Ms31791</t>
  </si>
  <si>
    <t>P200_Ms32714</t>
  </si>
  <si>
    <t>P200_Ms32715</t>
  </si>
  <si>
    <t>P74_Ms33295</t>
  </si>
  <si>
    <t>P74_Ms33296</t>
  </si>
  <si>
    <t>P74_Ms33297</t>
  </si>
  <si>
    <t>P74_Ms33298</t>
  </si>
  <si>
    <t>P74_Ms34012</t>
  </si>
  <si>
    <t>P124_Ms34279</t>
  </si>
  <si>
    <t>P124_Ms34282</t>
  </si>
  <si>
    <t>P124_Ms34284</t>
  </si>
  <si>
    <t>P119_Ms35581</t>
  </si>
  <si>
    <t>P119_Ms36109</t>
  </si>
  <si>
    <t>P121_Ms4740</t>
  </si>
  <si>
    <t>Absolute score (sig.score)</t>
  </si>
  <si>
    <t>Relative</t>
    <phoneticPr fontId="2" type="noConversion"/>
  </si>
  <si>
    <t>Absolute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</si>
</sst>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DengXian"/>
      <family val="4"/>
      <charset val="134"/>
    </font>
    <font>
      <sz val="2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6"/>
  <sheetViews>
    <sheetView tabSelected="1" zoomScale="59" workbookViewId="0">
      <selection activeCell="AE4" sqref="AD3:AE4"/>
    </sheetView>
  </sheetViews>
  <sheetFormatPr baseColWidth="10" defaultColWidth="8.83203125" defaultRowHeight="14"/>
  <cols>
    <col min="1" max="1" width="25.5" customWidth="1"/>
  </cols>
  <sheetData>
    <row r="1" spans="1:28" ht="111" customHeight="1">
      <c r="B1" s="3" t="s">
        <v>69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 t="s">
        <v>70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8" ht="1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</v>
      </c>
      <c r="P2" s="1" t="s">
        <v>2</v>
      </c>
      <c r="Q2" s="1" t="s">
        <v>3</v>
      </c>
      <c r="R2" s="1" t="s">
        <v>4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12</v>
      </c>
      <c r="AA2" s="1" t="s">
        <v>13</v>
      </c>
      <c r="AB2" s="2" t="s">
        <v>68</v>
      </c>
    </row>
    <row r="3" spans="1:28" ht="16">
      <c r="A3" s="1" t="s">
        <v>14</v>
      </c>
      <c r="B3">
        <v>0</v>
      </c>
      <c r="C3">
        <v>0</v>
      </c>
      <c r="D3">
        <v>1.382166504393615E-2</v>
      </c>
      <c r="E3">
        <v>0.56032358599861365</v>
      </c>
      <c r="F3">
        <v>0.4024655170947114</v>
      </c>
      <c r="G3">
        <v>2.9616682146651318E-3</v>
      </c>
      <c r="H3">
        <v>0</v>
      </c>
      <c r="I3">
        <v>1.2508501225910009E-2</v>
      </c>
      <c r="J3">
        <v>0</v>
      </c>
      <c r="K3">
        <v>2.120918471638047E-3</v>
      </c>
      <c r="L3">
        <v>0</v>
      </c>
      <c r="M3">
        <v>5.5724387726440736E-3</v>
      </c>
      <c r="N3">
        <v>2.257051778813035E-4</v>
      </c>
      <c r="O3">
        <f>B3*$AB3</f>
        <v>0</v>
      </c>
      <c r="P3">
        <f t="shared" ref="P3:Z3" si="0">C3*$AB3</f>
        <v>0</v>
      </c>
      <c r="Q3">
        <f t="shared" si="0"/>
        <v>7.2410152097930253E-2</v>
      </c>
      <c r="R3">
        <f t="shared" si="0"/>
        <v>2.9354723875339159</v>
      </c>
      <c r="S3">
        <f t="shared" si="0"/>
        <v>2.1084716793788645</v>
      </c>
      <c r="T3">
        <f t="shared" si="0"/>
        <v>1.5515847418223575E-2</v>
      </c>
      <c r="U3">
        <f t="shared" si="0"/>
        <v>0</v>
      </c>
      <c r="V3">
        <f t="shared" si="0"/>
        <v>6.5530634218534958E-2</v>
      </c>
      <c r="W3">
        <f t="shared" si="0"/>
        <v>0</v>
      </c>
      <c r="X3">
        <f t="shared" si="0"/>
        <v>1.1111253863440841E-2</v>
      </c>
      <c r="Y3">
        <f t="shared" si="0"/>
        <v>0</v>
      </c>
      <c r="Z3">
        <f t="shared" si="0"/>
        <v>2.9193381390803234E-2</v>
      </c>
      <c r="AA3">
        <f>N3*$AB3</f>
        <v>1.182444098285087E-3</v>
      </c>
      <c r="AB3" s="2">
        <v>5.2388877799999998</v>
      </c>
    </row>
    <row r="4" spans="1:28" ht="16">
      <c r="A4" s="1" t="s">
        <v>15</v>
      </c>
      <c r="B4">
        <v>0</v>
      </c>
      <c r="C4">
        <v>0</v>
      </c>
      <c r="D4">
        <v>0</v>
      </c>
      <c r="E4">
        <v>0.94689151690616324</v>
      </c>
      <c r="F4">
        <v>0</v>
      </c>
      <c r="G4">
        <v>0</v>
      </c>
      <c r="H4">
        <v>3.5696982720945222E-2</v>
      </c>
      <c r="I4">
        <v>1.6316111938864491E-2</v>
      </c>
      <c r="J4">
        <v>0</v>
      </c>
      <c r="K4">
        <v>1.095388434027124E-3</v>
      </c>
      <c r="L4">
        <v>0</v>
      </c>
      <c r="M4">
        <v>0</v>
      </c>
      <c r="N4">
        <v>0</v>
      </c>
      <c r="O4">
        <f t="shared" ref="O4:O56" si="1">B4*$AB4</f>
        <v>0</v>
      </c>
      <c r="P4">
        <f t="shared" ref="P4:P56" si="2">C4*$AB4</f>
        <v>0</v>
      </c>
      <c r="Q4">
        <f t="shared" ref="Q4:Q56" si="3">D4*$AB4</f>
        <v>0</v>
      </c>
      <c r="R4">
        <f t="shared" ref="R4:R56" si="4">E4*$AB4</f>
        <v>4.9556493313120136</v>
      </c>
      <c r="S4">
        <f t="shared" ref="S4:S56" si="5">F4*$AB4</f>
        <v>0</v>
      </c>
      <c r="T4">
        <f t="shared" ref="T4:T56" si="6">G4*$AB4</f>
        <v>0</v>
      </c>
      <c r="U4">
        <f t="shared" ref="U4:U56" si="7">H4*$AB4</f>
        <v>0.18682364916406746</v>
      </c>
      <c r="V4">
        <f t="shared" ref="V4:V56" si="8">I4*$AB4</f>
        <v>8.5391967058311577E-2</v>
      </c>
      <c r="W4">
        <f t="shared" ref="W4:W56" si="9">J4*$AB4</f>
        <v>0</v>
      </c>
      <c r="X4">
        <f t="shared" ref="X4:X56" si="10">K4*$AB4</f>
        <v>5.7328224656081487E-3</v>
      </c>
      <c r="Y4">
        <f t="shared" ref="Y4:Y56" si="11">L4*$AB4</f>
        <v>0</v>
      </c>
      <c r="Z4">
        <f t="shared" ref="Z4:Z56" si="12">M4*$AB4</f>
        <v>0</v>
      </c>
      <c r="AA4">
        <f t="shared" ref="AA4:AA56" si="13">N4*$AB4</f>
        <v>0</v>
      </c>
      <c r="AB4" s="2">
        <v>5.2335977700000003</v>
      </c>
    </row>
    <row r="5" spans="1:28" ht="16">
      <c r="A5" s="1" t="s">
        <v>16</v>
      </c>
      <c r="B5">
        <v>0</v>
      </c>
      <c r="C5">
        <v>3.6362747583793098E-2</v>
      </c>
      <c r="D5">
        <v>0</v>
      </c>
      <c r="E5">
        <v>0.95138149739632216</v>
      </c>
      <c r="F5">
        <v>0</v>
      </c>
      <c r="G5">
        <v>0</v>
      </c>
      <c r="H5">
        <v>0</v>
      </c>
      <c r="I5">
        <v>9.957848800685197E-3</v>
      </c>
      <c r="J5">
        <v>0</v>
      </c>
      <c r="K5">
        <v>0</v>
      </c>
      <c r="L5">
        <v>2.29790621919963E-3</v>
      </c>
      <c r="M5">
        <v>0</v>
      </c>
      <c r="N5">
        <v>0</v>
      </c>
      <c r="O5">
        <f t="shared" si="1"/>
        <v>0</v>
      </c>
      <c r="P5">
        <f t="shared" si="2"/>
        <v>0.17837252457470487</v>
      </c>
      <c r="Q5">
        <f t="shared" si="3"/>
        <v>0</v>
      </c>
      <c r="R5">
        <f t="shared" si="4"/>
        <v>4.666872852036092</v>
      </c>
      <c r="S5">
        <f t="shared" si="5"/>
        <v>0</v>
      </c>
      <c r="T5">
        <f t="shared" si="6"/>
        <v>0</v>
      </c>
      <c r="U5">
        <f t="shared" si="7"/>
        <v>0</v>
      </c>
      <c r="V5">
        <f t="shared" si="8"/>
        <v>4.8846876210835957E-2</v>
      </c>
      <c r="W5">
        <f t="shared" si="9"/>
        <v>0</v>
      </c>
      <c r="X5">
        <f t="shared" si="10"/>
        <v>0</v>
      </c>
      <c r="Y5">
        <f t="shared" si="11"/>
        <v>1.1272067178367965E-2</v>
      </c>
      <c r="Z5">
        <f t="shared" si="12"/>
        <v>0</v>
      </c>
      <c r="AA5">
        <f t="shared" si="13"/>
        <v>0</v>
      </c>
      <c r="AB5" s="2">
        <v>4.9053643200000003</v>
      </c>
    </row>
    <row r="6" spans="1:28" ht="16">
      <c r="A6" s="1" t="s">
        <v>17</v>
      </c>
      <c r="B6">
        <v>1.5133363119647039E-2</v>
      </c>
      <c r="C6">
        <v>0</v>
      </c>
      <c r="D6">
        <v>0</v>
      </c>
      <c r="E6">
        <v>0.81981677677901499</v>
      </c>
      <c r="F6">
        <v>0.12563592055478651</v>
      </c>
      <c r="G6">
        <v>0</v>
      </c>
      <c r="H6">
        <v>1.5143297079885929E-2</v>
      </c>
      <c r="I6">
        <v>1.3318970258278591E-2</v>
      </c>
      <c r="J6">
        <v>1.7351166018504641E-3</v>
      </c>
      <c r="K6">
        <v>9.2165556065364994E-3</v>
      </c>
      <c r="L6">
        <v>0</v>
      </c>
      <c r="M6">
        <v>0</v>
      </c>
      <c r="N6">
        <v>0</v>
      </c>
      <c r="O6">
        <f t="shared" si="1"/>
        <v>8.7500242653434104E-2</v>
      </c>
      <c r="P6">
        <f t="shared" si="2"/>
        <v>0</v>
      </c>
      <c r="Q6">
        <f t="shared" si="3"/>
        <v>0</v>
      </c>
      <c r="R6">
        <f t="shared" si="4"/>
        <v>4.7401338573836531</v>
      </c>
      <c r="S6">
        <f t="shared" si="5"/>
        <v>0.72641972888758555</v>
      </c>
      <c r="T6">
        <f t="shared" si="6"/>
        <v>0</v>
      </c>
      <c r="U6">
        <f t="shared" si="7"/>
        <v>8.7557680245100952E-2</v>
      </c>
      <c r="V6">
        <f t="shared" si="8"/>
        <v>7.7009526585682692E-2</v>
      </c>
      <c r="W6">
        <f t="shared" si="9"/>
        <v>1.0032345255550745E-2</v>
      </c>
      <c r="X6">
        <f t="shared" si="10"/>
        <v>5.3289598988993353E-2</v>
      </c>
      <c r="Y6">
        <f t="shared" si="11"/>
        <v>0</v>
      </c>
      <c r="Z6">
        <f t="shared" si="12"/>
        <v>0</v>
      </c>
      <c r="AA6">
        <f t="shared" si="13"/>
        <v>0</v>
      </c>
      <c r="AB6" s="2">
        <v>5.7819429800000002</v>
      </c>
    </row>
    <row r="7" spans="1:28" ht="16">
      <c r="A7" s="1" t="s">
        <v>18</v>
      </c>
      <c r="B7">
        <v>7.2904013001778969E-2</v>
      </c>
      <c r="C7">
        <v>0.20426261911251151</v>
      </c>
      <c r="D7">
        <v>2.1283238515658678E-2</v>
      </c>
      <c r="E7">
        <v>0.137593396084083</v>
      </c>
      <c r="F7">
        <v>0.47729217497253312</v>
      </c>
      <c r="G7">
        <v>0</v>
      </c>
      <c r="H7">
        <v>0</v>
      </c>
      <c r="I7">
        <v>1.144706250215947E-3</v>
      </c>
      <c r="J7">
        <v>6.5011158728280269E-2</v>
      </c>
      <c r="K7">
        <v>4.2527047521021231E-3</v>
      </c>
      <c r="L7">
        <v>0</v>
      </c>
      <c r="M7">
        <v>0</v>
      </c>
      <c r="N7">
        <v>1.6255988582836289E-2</v>
      </c>
      <c r="O7">
        <f t="shared" si="1"/>
        <v>1.7581012917648482</v>
      </c>
      <c r="P7">
        <f t="shared" si="2"/>
        <v>4.9258519488113048</v>
      </c>
      <c r="Q7">
        <f t="shared" si="3"/>
        <v>0.51325143276277307</v>
      </c>
      <c r="R7">
        <f t="shared" si="4"/>
        <v>3.3181044147437526</v>
      </c>
      <c r="S7">
        <f t="shared" si="5"/>
        <v>11.510038402796681</v>
      </c>
      <c r="T7">
        <f t="shared" si="6"/>
        <v>0</v>
      </c>
      <c r="U7">
        <f t="shared" si="7"/>
        <v>0</v>
      </c>
      <c r="V7">
        <f t="shared" si="8"/>
        <v>2.76049212427695E-2</v>
      </c>
      <c r="W7">
        <f t="shared" si="9"/>
        <v>1.5677628354495401</v>
      </c>
      <c r="X7">
        <f t="shared" si="10"/>
        <v>0.10255520115172273</v>
      </c>
      <c r="Y7">
        <f t="shared" si="11"/>
        <v>0</v>
      </c>
      <c r="Z7">
        <f t="shared" si="12"/>
        <v>0</v>
      </c>
      <c r="AA7">
        <f t="shared" si="13"/>
        <v>0.39201785127660554</v>
      </c>
      <c r="AB7" s="2">
        <v>24.1152883</v>
      </c>
    </row>
    <row r="8" spans="1:28" ht="16">
      <c r="A8" s="1" t="s">
        <v>19</v>
      </c>
      <c r="B8">
        <v>0</v>
      </c>
      <c r="C8">
        <v>2.7365846116595781E-2</v>
      </c>
      <c r="D8">
        <v>0</v>
      </c>
      <c r="E8">
        <v>0.46691070901457282</v>
      </c>
      <c r="F8">
        <v>0.45366161378141928</v>
      </c>
      <c r="G8">
        <v>0</v>
      </c>
      <c r="H8">
        <v>2.7810637321410758E-2</v>
      </c>
      <c r="I8">
        <v>7.4156745126533951E-3</v>
      </c>
      <c r="J8">
        <v>5.7239130498494993E-3</v>
      </c>
      <c r="K8">
        <v>4.8893263916317594E-3</v>
      </c>
      <c r="L8">
        <v>0</v>
      </c>
      <c r="M8">
        <v>0</v>
      </c>
      <c r="N8">
        <v>6.2222798118666701E-3</v>
      </c>
      <c r="O8">
        <f t="shared" si="1"/>
        <v>0</v>
      </c>
      <c r="P8">
        <f t="shared" si="2"/>
        <v>0.19693167645503212</v>
      </c>
      <c r="Q8">
        <f t="shared" si="3"/>
        <v>0</v>
      </c>
      <c r="R8">
        <f t="shared" si="4"/>
        <v>3.3600097102528657</v>
      </c>
      <c r="S8">
        <f t="shared" si="5"/>
        <v>3.2646658087831066</v>
      </c>
      <c r="T8">
        <f t="shared" si="6"/>
        <v>0</v>
      </c>
      <c r="U8">
        <f t="shared" si="7"/>
        <v>0.20013250851640757</v>
      </c>
      <c r="V8">
        <f t="shared" si="8"/>
        <v>5.336510362586782E-2</v>
      </c>
      <c r="W8">
        <f t="shared" si="9"/>
        <v>4.1190752443283858E-2</v>
      </c>
      <c r="X8">
        <f t="shared" si="10"/>
        <v>3.5184851911301045E-2</v>
      </c>
      <c r="Y8">
        <f t="shared" si="11"/>
        <v>0</v>
      </c>
      <c r="Z8">
        <f t="shared" si="12"/>
        <v>0</v>
      </c>
      <c r="AA8">
        <f t="shared" si="13"/>
        <v>4.4777128012135306E-2</v>
      </c>
      <c r="AB8" s="2">
        <v>7.1962575400000004</v>
      </c>
    </row>
    <row r="9" spans="1:28" ht="16">
      <c r="A9" s="1" t="s">
        <v>20</v>
      </c>
      <c r="B9">
        <v>2.5788645746544769E-3</v>
      </c>
      <c r="C9">
        <v>0.37278033350447248</v>
      </c>
      <c r="D9">
        <v>1.520051781408231E-2</v>
      </c>
      <c r="E9">
        <v>0.27504487022459179</v>
      </c>
      <c r="F9">
        <v>0.3102074956161105</v>
      </c>
      <c r="G9">
        <v>0</v>
      </c>
      <c r="H9">
        <v>0</v>
      </c>
      <c r="I9">
        <v>6.3047090511388747E-3</v>
      </c>
      <c r="J9">
        <v>1.382448699187141E-2</v>
      </c>
      <c r="K9">
        <v>2.621691314241381E-3</v>
      </c>
      <c r="L9">
        <v>0</v>
      </c>
      <c r="M9">
        <v>0</v>
      </c>
      <c r="N9">
        <v>1.4370309088369111E-3</v>
      </c>
      <c r="O9">
        <f t="shared" si="1"/>
        <v>2.1120894702933834E-2</v>
      </c>
      <c r="P9">
        <f t="shared" si="2"/>
        <v>3.0530700404566327</v>
      </c>
      <c r="Q9">
        <f t="shared" si="3"/>
        <v>0.12449220456809655</v>
      </c>
      <c r="R9">
        <f t="shared" si="4"/>
        <v>2.2526168297821672</v>
      </c>
      <c r="S9">
        <f t="shared" si="5"/>
        <v>2.5405986477000306</v>
      </c>
      <c r="T9">
        <f t="shared" si="6"/>
        <v>0</v>
      </c>
      <c r="U9">
        <f t="shared" si="7"/>
        <v>0</v>
      </c>
      <c r="V9">
        <f t="shared" si="8"/>
        <v>5.1635552060572756E-2</v>
      </c>
      <c r="W9">
        <f t="shared" si="9"/>
        <v>0.11322251542290294</v>
      </c>
      <c r="X9">
        <f t="shared" si="10"/>
        <v>2.1471645597794672E-2</v>
      </c>
      <c r="Y9">
        <f t="shared" si="11"/>
        <v>0</v>
      </c>
      <c r="Z9">
        <f t="shared" si="12"/>
        <v>0</v>
      </c>
      <c r="AA9">
        <f t="shared" si="13"/>
        <v>1.176927970887043E-2</v>
      </c>
      <c r="AB9" s="2">
        <v>8.1899976100000007</v>
      </c>
    </row>
    <row r="10" spans="1:28" ht="16">
      <c r="A10" s="1" t="s">
        <v>21</v>
      </c>
      <c r="B10">
        <v>0</v>
      </c>
      <c r="C10">
        <v>0</v>
      </c>
      <c r="D10">
        <v>8.2518573201829006E-3</v>
      </c>
      <c r="E10">
        <v>0.94925578073844052</v>
      </c>
      <c r="F10">
        <v>1.7762728840971551E-2</v>
      </c>
      <c r="G10">
        <v>1.1505735863313439E-3</v>
      </c>
      <c r="H10">
        <v>4.8031783748724992E-4</v>
      </c>
      <c r="I10">
        <v>6.5931544074151966E-3</v>
      </c>
      <c r="J10">
        <v>0</v>
      </c>
      <c r="K10">
        <v>1.4461121128821841E-2</v>
      </c>
      <c r="L10">
        <v>0</v>
      </c>
      <c r="M10">
        <v>0</v>
      </c>
      <c r="N10">
        <v>2.0444661403495219E-3</v>
      </c>
      <c r="O10">
        <f t="shared" si="1"/>
        <v>0</v>
      </c>
      <c r="P10">
        <f t="shared" si="2"/>
        <v>0</v>
      </c>
      <c r="Q10">
        <f t="shared" si="3"/>
        <v>4.8674901195381509E-2</v>
      </c>
      <c r="R10">
        <f t="shared" si="4"/>
        <v>5.5993371605659563</v>
      </c>
      <c r="S10">
        <f t="shared" si="5"/>
        <v>0.10477629917084898</v>
      </c>
      <c r="T10">
        <f t="shared" si="6"/>
        <v>6.7868424597836603E-3</v>
      </c>
      <c r="U10">
        <f t="shared" si="7"/>
        <v>2.8332316440916119E-3</v>
      </c>
      <c r="V10">
        <f t="shared" si="8"/>
        <v>3.8890776572432992E-2</v>
      </c>
      <c r="W10">
        <f t="shared" si="9"/>
        <v>0</v>
      </c>
      <c r="X10">
        <f t="shared" si="10"/>
        <v>8.5301237625403509E-2</v>
      </c>
      <c r="Y10">
        <f t="shared" si="11"/>
        <v>0</v>
      </c>
      <c r="Z10">
        <f t="shared" si="12"/>
        <v>0</v>
      </c>
      <c r="AA10">
        <f t="shared" si="13"/>
        <v>1.2059610766102079E-2</v>
      </c>
      <c r="AB10" s="2">
        <v>5.8986600600000001</v>
      </c>
    </row>
    <row r="11" spans="1:28" ht="16">
      <c r="A11" s="1" t="s">
        <v>22</v>
      </c>
      <c r="B11">
        <v>0</v>
      </c>
      <c r="C11">
        <v>0</v>
      </c>
      <c r="D11">
        <v>0</v>
      </c>
      <c r="E11">
        <v>0.97643022688904124</v>
      </c>
      <c r="F11">
        <v>0</v>
      </c>
      <c r="G11">
        <v>0</v>
      </c>
      <c r="H11">
        <v>3.4584177596647448E-3</v>
      </c>
      <c r="I11">
        <v>1.848941706803901E-2</v>
      </c>
      <c r="J11">
        <v>0</v>
      </c>
      <c r="K11">
        <v>8.045958903268169E-4</v>
      </c>
      <c r="L11">
        <v>0</v>
      </c>
      <c r="M11">
        <v>8.1734239292822087E-4</v>
      </c>
      <c r="N11">
        <v>0</v>
      </c>
      <c r="O11">
        <f t="shared" si="1"/>
        <v>0</v>
      </c>
      <c r="P11">
        <f t="shared" si="2"/>
        <v>0</v>
      </c>
      <c r="Q11">
        <f t="shared" si="3"/>
        <v>0</v>
      </c>
      <c r="R11">
        <f t="shared" si="4"/>
        <v>4.9899196214153232</v>
      </c>
      <c r="S11">
        <f t="shared" si="5"/>
        <v>0</v>
      </c>
      <c r="T11">
        <f t="shared" si="6"/>
        <v>0</v>
      </c>
      <c r="U11">
        <f t="shared" si="7"/>
        <v>1.7673793951447792E-2</v>
      </c>
      <c r="V11">
        <f t="shared" si="8"/>
        <v>9.4487760083264469E-2</v>
      </c>
      <c r="W11">
        <f t="shared" si="9"/>
        <v>0</v>
      </c>
      <c r="X11">
        <f t="shared" si="10"/>
        <v>4.1117826034979491E-3</v>
      </c>
      <c r="Y11">
        <f t="shared" si="11"/>
        <v>0</v>
      </c>
      <c r="Z11">
        <f t="shared" si="12"/>
        <v>4.1769219464675052E-3</v>
      </c>
      <c r="AA11">
        <f t="shared" si="13"/>
        <v>0</v>
      </c>
      <c r="AB11" s="2">
        <v>5.1103698800000004</v>
      </c>
    </row>
    <row r="12" spans="1:28" ht="16">
      <c r="A12" s="1" t="s">
        <v>23</v>
      </c>
      <c r="B12">
        <v>0</v>
      </c>
      <c r="C12">
        <v>6.7832813608334416E-2</v>
      </c>
      <c r="D12">
        <v>8.6160255391334927E-4</v>
      </c>
      <c r="E12">
        <v>0.92179658684857813</v>
      </c>
      <c r="F12">
        <v>0</v>
      </c>
      <c r="G12">
        <v>0</v>
      </c>
      <c r="H12">
        <v>0</v>
      </c>
      <c r="I12">
        <v>8.6964268016481473E-3</v>
      </c>
      <c r="J12">
        <v>0</v>
      </c>
      <c r="K12">
        <v>8.1257018752599862E-4</v>
      </c>
      <c r="L12">
        <v>0</v>
      </c>
      <c r="M12">
        <v>0</v>
      </c>
      <c r="N12">
        <v>0</v>
      </c>
      <c r="O12">
        <f t="shared" si="1"/>
        <v>0</v>
      </c>
      <c r="P12">
        <f t="shared" si="2"/>
        <v>0.33207396801163797</v>
      </c>
      <c r="Q12">
        <f t="shared" si="3"/>
        <v>4.2179553479676528E-3</v>
      </c>
      <c r="R12">
        <f t="shared" si="4"/>
        <v>4.5126338421082623</v>
      </c>
      <c r="S12">
        <f t="shared" si="5"/>
        <v>0</v>
      </c>
      <c r="T12">
        <f t="shared" si="6"/>
        <v>0</v>
      </c>
      <c r="U12">
        <f t="shared" si="7"/>
        <v>0</v>
      </c>
      <c r="V12">
        <f t="shared" si="8"/>
        <v>4.2573155998223776E-2</v>
      </c>
      <c r="W12">
        <f t="shared" si="9"/>
        <v>0</v>
      </c>
      <c r="X12">
        <f t="shared" si="10"/>
        <v>3.9779185339079825E-3</v>
      </c>
      <c r="Y12">
        <f t="shared" si="11"/>
        <v>0</v>
      </c>
      <c r="Z12">
        <f t="shared" si="12"/>
        <v>0</v>
      </c>
      <c r="AA12">
        <f t="shared" si="13"/>
        <v>0</v>
      </c>
      <c r="AB12" s="2">
        <v>4.8954768399999997</v>
      </c>
    </row>
    <row r="13" spans="1:28" ht="16">
      <c r="A13" s="1" t="s">
        <v>24</v>
      </c>
      <c r="B13">
        <v>0</v>
      </c>
      <c r="C13">
        <v>0</v>
      </c>
      <c r="D13">
        <v>1.52170952645893E-2</v>
      </c>
      <c r="E13">
        <v>0.26593689446313917</v>
      </c>
      <c r="F13">
        <v>0.65169312843684202</v>
      </c>
      <c r="G13">
        <v>0</v>
      </c>
      <c r="H13">
        <v>2.8807059356055591E-2</v>
      </c>
      <c r="I13">
        <v>2.014687813086594E-2</v>
      </c>
      <c r="J13">
        <v>1.6669828935156759E-2</v>
      </c>
      <c r="K13">
        <v>1.039080924477264E-3</v>
      </c>
      <c r="L13">
        <v>0</v>
      </c>
      <c r="M13">
        <v>0</v>
      </c>
      <c r="N13">
        <v>4.9003448887387463E-4</v>
      </c>
      <c r="O13">
        <f t="shared" si="1"/>
        <v>0</v>
      </c>
      <c r="P13">
        <f t="shared" si="2"/>
        <v>0</v>
      </c>
      <c r="Q13">
        <f t="shared" si="3"/>
        <v>7.7457278135338245E-2</v>
      </c>
      <c r="R13">
        <f t="shared" si="4"/>
        <v>1.353658345611692</v>
      </c>
      <c r="S13">
        <f t="shared" si="5"/>
        <v>3.3172149500625183</v>
      </c>
      <c r="T13">
        <f t="shared" si="6"/>
        <v>0</v>
      </c>
      <c r="U13">
        <f t="shared" si="7"/>
        <v>0.14663221659626099</v>
      </c>
      <c r="V13">
        <f t="shared" si="8"/>
        <v>0.10255060613129204</v>
      </c>
      <c r="W13">
        <f t="shared" si="9"/>
        <v>8.4851908583605432E-2</v>
      </c>
      <c r="X13">
        <f t="shared" si="10"/>
        <v>5.2890764480951714E-3</v>
      </c>
      <c r="Y13">
        <f t="shared" si="11"/>
        <v>0</v>
      </c>
      <c r="Z13">
        <f t="shared" si="12"/>
        <v>0</v>
      </c>
      <c r="AA13">
        <f t="shared" si="13"/>
        <v>2.494348431197552E-3</v>
      </c>
      <c r="AB13" s="2">
        <v>5.0901487300000001</v>
      </c>
    </row>
    <row r="14" spans="1:28" ht="16">
      <c r="A14" s="1" t="s">
        <v>25</v>
      </c>
      <c r="B14">
        <v>5.4790506850320372E-2</v>
      </c>
      <c r="C14">
        <v>4.4476598585287658E-2</v>
      </c>
      <c r="D14">
        <v>2.0925558314082569E-2</v>
      </c>
      <c r="E14">
        <v>0.67293693654324904</v>
      </c>
      <c r="F14">
        <v>0.1688679715021579</v>
      </c>
      <c r="G14">
        <v>0</v>
      </c>
      <c r="H14">
        <v>0</v>
      </c>
      <c r="I14">
        <v>1.845615836058756E-2</v>
      </c>
      <c r="J14">
        <v>0</v>
      </c>
      <c r="K14">
        <v>6.3000590203207366E-3</v>
      </c>
      <c r="L14">
        <v>0</v>
      </c>
      <c r="M14">
        <v>0</v>
      </c>
      <c r="N14">
        <v>1.324621082399435E-2</v>
      </c>
      <c r="O14">
        <f t="shared" si="1"/>
        <v>0.35236096137392187</v>
      </c>
      <c r="P14">
        <f t="shared" si="2"/>
        <v>0.28603161272019401</v>
      </c>
      <c r="Q14">
        <f t="shared" si="3"/>
        <v>0.13457349217409337</v>
      </c>
      <c r="R14">
        <f t="shared" si="4"/>
        <v>4.3276968864728547</v>
      </c>
      <c r="S14">
        <f t="shared" si="5"/>
        <v>1.085999823770867</v>
      </c>
      <c r="T14">
        <f t="shared" si="6"/>
        <v>0</v>
      </c>
      <c r="U14">
        <f t="shared" si="7"/>
        <v>0</v>
      </c>
      <c r="V14">
        <f t="shared" si="8"/>
        <v>0.1186926363169417</v>
      </c>
      <c r="W14">
        <f t="shared" si="9"/>
        <v>0</v>
      </c>
      <c r="X14">
        <f t="shared" si="10"/>
        <v>4.0516048869142431E-2</v>
      </c>
      <c r="Y14">
        <f t="shared" si="11"/>
        <v>0</v>
      </c>
      <c r="Z14">
        <f t="shared" si="12"/>
        <v>0</v>
      </c>
      <c r="AA14">
        <f t="shared" si="13"/>
        <v>8.5187158301986171E-2</v>
      </c>
      <c r="AB14" s="2">
        <v>6.4310586199999999</v>
      </c>
    </row>
    <row r="15" spans="1:28" ht="16">
      <c r="A15" s="1" t="s">
        <v>26</v>
      </c>
      <c r="B15">
        <v>0.15537371894237559</v>
      </c>
      <c r="C15">
        <v>0.2005145855168208</v>
      </c>
      <c r="D15">
        <v>7.3481731805320694E-2</v>
      </c>
      <c r="E15">
        <v>0.46653158842204401</v>
      </c>
      <c r="F15">
        <v>7.5283610220520186E-2</v>
      </c>
      <c r="G15">
        <v>0</v>
      </c>
      <c r="H15">
        <v>0</v>
      </c>
      <c r="I15">
        <v>8.5938301131274521E-3</v>
      </c>
      <c r="J15">
        <v>2.022093497979132E-2</v>
      </c>
      <c r="K15">
        <v>0</v>
      </c>
      <c r="L15">
        <v>0</v>
      </c>
      <c r="M15">
        <v>0</v>
      </c>
      <c r="N15">
        <v>0</v>
      </c>
      <c r="O15">
        <f t="shared" si="1"/>
        <v>1.2240526519618005</v>
      </c>
      <c r="P15">
        <f t="shared" si="2"/>
        <v>1.5796777719526283</v>
      </c>
      <c r="Q15">
        <f t="shared" si="3"/>
        <v>0.57889782969285319</v>
      </c>
      <c r="R15">
        <f t="shared" si="4"/>
        <v>3.6753913848438322</v>
      </c>
      <c r="S15">
        <f t="shared" si="5"/>
        <v>0.59309324232538252</v>
      </c>
      <c r="T15">
        <f t="shared" si="6"/>
        <v>0</v>
      </c>
      <c r="U15">
        <f t="shared" si="7"/>
        <v>0</v>
      </c>
      <c r="V15">
        <f t="shared" si="8"/>
        <v>6.7703216554816426E-2</v>
      </c>
      <c r="W15">
        <f t="shared" si="9"/>
        <v>0.15930293266868667</v>
      </c>
      <c r="X15">
        <f t="shared" si="10"/>
        <v>0</v>
      </c>
      <c r="Y15">
        <f t="shared" si="11"/>
        <v>0</v>
      </c>
      <c r="Z15">
        <f t="shared" si="12"/>
        <v>0</v>
      </c>
      <c r="AA15">
        <f t="shared" si="13"/>
        <v>0</v>
      </c>
      <c r="AB15" s="2">
        <v>7.8781190299999997</v>
      </c>
    </row>
    <row r="16" spans="1:28" ht="16">
      <c r="A16" s="1" t="s">
        <v>27</v>
      </c>
      <c r="B16">
        <v>0</v>
      </c>
      <c r="C16">
        <v>0</v>
      </c>
      <c r="D16">
        <v>0</v>
      </c>
      <c r="E16">
        <v>0.65246459333899987</v>
      </c>
      <c r="F16">
        <v>0.28991907238014469</v>
      </c>
      <c r="G16">
        <v>0</v>
      </c>
      <c r="H16">
        <v>2.7814867545341009E-2</v>
      </c>
      <c r="I16">
        <v>1.882232599752931E-2</v>
      </c>
      <c r="J16">
        <v>0</v>
      </c>
      <c r="K16">
        <v>2.0815364026337819E-4</v>
      </c>
      <c r="L16">
        <v>1.077098709772176E-2</v>
      </c>
      <c r="M16">
        <v>0</v>
      </c>
      <c r="N16">
        <v>0</v>
      </c>
      <c r="O16">
        <f t="shared" si="1"/>
        <v>0</v>
      </c>
      <c r="P16">
        <f t="shared" si="2"/>
        <v>0</v>
      </c>
      <c r="Q16">
        <f t="shared" si="3"/>
        <v>0</v>
      </c>
      <c r="R16">
        <f t="shared" si="4"/>
        <v>2.8108012282606833</v>
      </c>
      <c r="S16">
        <f t="shared" si="5"/>
        <v>1.2489641477279518</v>
      </c>
      <c r="T16">
        <f t="shared" si="6"/>
        <v>0</v>
      </c>
      <c r="U16">
        <f t="shared" si="7"/>
        <v>0.11982575707327586</v>
      </c>
      <c r="V16">
        <f t="shared" si="8"/>
        <v>8.1086111909662195E-2</v>
      </c>
      <c r="W16">
        <f t="shared" si="9"/>
        <v>0</v>
      </c>
      <c r="X16">
        <f t="shared" si="10"/>
        <v>8.9672070131052706E-4</v>
      </c>
      <c r="Y16">
        <f t="shared" si="11"/>
        <v>4.6401144327116485E-2</v>
      </c>
      <c r="Z16">
        <f t="shared" si="12"/>
        <v>0</v>
      </c>
      <c r="AA16">
        <f t="shared" si="13"/>
        <v>0</v>
      </c>
      <c r="AB16" s="2">
        <v>4.3079751100000001</v>
      </c>
    </row>
    <row r="17" spans="1:28" ht="16">
      <c r="A17" s="1" t="s">
        <v>28</v>
      </c>
      <c r="B17">
        <v>0</v>
      </c>
      <c r="C17">
        <v>0</v>
      </c>
      <c r="D17">
        <v>1.3497414635543581E-2</v>
      </c>
      <c r="E17">
        <v>0.96579118101708983</v>
      </c>
      <c r="F17">
        <v>0</v>
      </c>
      <c r="G17">
        <v>1.041946321096345E-4</v>
      </c>
      <c r="H17">
        <v>1.132065185280264E-2</v>
      </c>
      <c r="I17">
        <v>7.4882255285933681E-3</v>
      </c>
      <c r="J17">
        <v>2.314418439322092E-4</v>
      </c>
      <c r="K17">
        <v>1.219110991595985E-3</v>
      </c>
      <c r="L17">
        <v>0</v>
      </c>
      <c r="M17">
        <v>2.0557677490941101E-4</v>
      </c>
      <c r="N17">
        <v>1.422027234233877E-4</v>
      </c>
      <c r="O17">
        <f t="shared" si="1"/>
        <v>0</v>
      </c>
      <c r="P17">
        <f t="shared" si="2"/>
        <v>0</v>
      </c>
      <c r="Q17">
        <f t="shared" si="3"/>
        <v>7.9366446361271548E-2</v>
      </c>
      <c r="R17">
        <f t="shared" si="4"/>
        <v>5.6789700867995139</v>
      </c>
      <c r="S17">
        <f t="shared" si="5"/>
        <v>0</v>
      </c>
      <c r="T17">
        <f t="shared" si="6"/>
        <v>6.1267716105312413E-4</v>
      </c>
      <c r="U17">
        <f t="shared" si="7"/>
        <v>6.6566815372483795E-2</v>
      </c>
      <c r="V17">
        <f t="shared" si="8"/>
        <v>4.4031680570230561E-2</v>
      </c>
      <c r="W17">
        <f t="shared" si="9"/>
        <v>1.3609063059993711E-3</v>
      </c>
      <c r="X17">
        <f t="shared" si="10"/>
        <v>7.1685215084186862E-3</v>
      </c>
      <c r="Y17">
        <f t="shared" si="11"/>
        <v>0</v>
      </c>
      <c r="Z17">
        <f t="shared" si="12"/>
        <v>1.2088165415030888E-3</v>
      </c>
      <c r="AA17">
        <f t="shared" si="13"/>
        <v>8.3616937952610423E-4</v>
      </c>
      <c r="AB17" s="2">
        <v>5.8801221200000002</v>
      </c>
    </row>
    <row r="18" spans="1:28" ht="16">
      <c r="A18" s="1" t="s">
        <v>29</v>
      </c>
      <c r="B18">
        <v>0</v>
      </c>
      <c r="C18">
        <v>0</v>
      </c>
      <c r="D18">
        <v>3.863625434417841E-3</v>
      </c>
      <c r="E18">
        <v>0.81716050514312122</v>
      </c>
      <c r="F18">
        <v>0.15645855573432649</v>
      </c>
      <c r="G18">
        <v>0</v>
      </c>
      <c r="H18">
        <v>0</v>
      </c>
      <c r="I18">
        <v>1.831604665703248E-2</v>
      </c>
      <c r="J18">
        <v>0</v>
      </c>
      <c r="K18">
        <v>4.2012670311019629E-3</v>
      </c>
      <c r="L18">
        <v>0</v>
      </c>
      <c r="M18">
        <v>0</v>
      </c>
      <c r="N18">
        <v>0</v>
      </c>
      <c r="O18">
        <f t="shared" si="1"/>
        <v>0</v>
      </c>
      <c r="P18">
        <f t="shared" si="2"/>
        <v>0</v>
      </c>
      <c r="Q18">
        <f t="shared" si="3"/>
        <v>2.025972734717698E-2</v>
      </c>
      <c r="R18">
        <f t="shared" si="4"/>
        <v>4.2849518707487162</v>
      </c>
      <c r="S18">
        <f t="shared" si="5"/>
        <v>0.82042313213733276</v>
      </c>
      <c r="T18">
        <f t="shared" si="6"/>
        <v>0</v>
      </c>
      <c r="U18">
        <f t="shared" si="7"/>
        <v>0</v>
      </c>
      <c r="V18">
        <f t="shared" si="8"/>
        <v>9.6044018150419727E-2</v>
      </c>
      <c r="W18">
        <f t="shared" si="9"/>
        <v>0</v>
      </c>
      <c r="X18">
        <f t="shared" si="10"/>
        <v>2.2030221616354633E-2</v>
      </c>
      <c r="Y18">
        <f t="shared" si="11"/>
        <v>0</v>
      </c>
      <c r="Z18">
        <f t="shared" si="12"/>
        <v>0</v>
      </c>
      <c r="AA18">
        <f t="shared" si="13"/>
        <v>0</v>
      </c>
      <c r="AB18" s="2">
        <v>5.2437089700000001</v>
      </c>
    </row>
    <row r="19" spans="1:28" ht="16">
      <c r="A19" s="1" t="s">
        <v>30</v>
      </c>
      <c r="B19">
        <v>4.1245071500912833E-2</v>
      </c>
      <c r="C19">
        <v>0</v>
      </c>
      <c r="D19">
        <v>2.7480395960945698E-3</v>
      </c>
      <c r="E19">
        <v>0.69396304780339713</v>
      </c>
      <c r="F19">
        <v>0.23807411322472799</v>
      </c>
      <c r="G19">
        <v>2.141977640253839E-4</v>
      </c>
      <c r="H19">
        <v>9.9157205718153219E-3</v>
      </c>
      <c r="I19">
        <v>1.383980953902683E-2</v>
      </c>
      <c r="J19">
        <v>0</v>
      </c>
      <c r="K19">
        <v>0</v>
      </c>
      <c r="L19">
        <v>0</v>
      </c>
      <c r="M19">
        <v>0</v>
      </c>
      <c r="N19">
        <v>0</v>
      </c>
      <c r="O19">
        <f t="shared" si="1"/>
        <v>0.22121760361046111</v>
      </c>
      <c r="P19">
        <f t="shared" si="2"/>
        <v>0</v>
      </c>
      <c r="Q19">
        <f t="shared" si="3"/>
        <v>1.4739087894689329E-2</v>
      </c>
      <c r="R19">
        <f t="shared" si="4"/>
        <v>3.7220651302757894</v>
      </c>
      <c r="S19">
        <f t="shared" si="5"/>
        <v>1.2769085588345823</v>
      </c>
      <c r="T19">
        <f t="shared" si="6"/>
        <v>1.1488479552124369E-3</v>
      </c>
      <c r="U19">
        <f t="shared" si="7"/>
        <v>5.31828861763372E-2</v>
      </c>
      <c r="V19">
        <f t="shared" si="8"/>
        <v>7.422970525292838E-2</v>
      </c>
      <c r="W19">
        <f t="shared" si="9"/>
        <v>0</v>
      </c>
      <c r="X19">
        <f t="shared" si="10"/>
        <v>0</v>
      </c>
      <c r="Y19">
        <f t="shared" si="11"/>
        <v>0</v>
      </c>
      <c r="Z19">
        <f t="shared" si="12"/>
        <v>0</v>
      </c>
      <c r="AA19">
        <f t="shared" si="13"/>
        <v>0</v>
      </c>
      <c r="AB19" s="2">
        <v>5.3634918200000001</v>
      </c>
    </row>
    <row r="20" spans="1:28" ht="16">
      <c r="A20" s="1" t="s">
        <v>31</v>
      </c>
      <c r="B20">
        <v>0</v>
      </c>
      <c r="C20">
        <v>0</v>
      </c>
      <c r="D20">
        <v>1.315846294073743E-4</v>
      </c>
      <c r="E20">
        <v>0.97412299787454915</v>
      </c>
      <c r="F20">
        <v>0</v>
      </c>
      <c r="G20">
        <v>0</v>
      </c>
      <c r="H20">
        <v>9.236186635635725E-3</v>
      </c>
      <c r="I20">
        <v>1.1449779596196001E-2</v>
      </c>
      <c r="J20">
        <v>0</v>
      </c>
      <c r="K20">
        <v>0</v>
      </c>
      <c r="L20">
        <v>3.5777630361082148E-3</v>
      </c>
      <c r="M20">
        <v>1.4816882281036121E-3</v>
      </c>
      <c r="N20">
        <v>0</v>
      </c>
      <c r="O20">
        <f t="shared" si="1"/>
        <v>0</v>
      </c>
      <c r="P20">
        <f t="shared" si="2"/>
        <v>0</v>
      </c>
      <c r="Q20">
        <f t="shared" si="3"/>
        <v>7.2973637304912049E-4</v>
      </c>
      <c r="R20">
        <f t="shared" si="4"/>
        <v>5.4022493856176164</v>
      </c>
      <c r="S20">
        <f t="shared" si="5"/>
        <v>0</v>
      </c>
      <c r="T20">
        <f t="shared" si="6"/>
        <v>0</v>
      </c>
      <c r="U20">
        <f t="shared" si="7"/>
        <v>5.122164622607394E-2</v>
      </c>
      <c r="V20">
        <f t="shared" si="8"/>
        <v>6.3497694771572175E-2</v>
      </c>
      <c r="W20">
        <f t="shared" si="9"/>
        <v>0</v>
      </c>
      <c r="X20">
        <f t="shared" si="10"/>
        <v>0</v>
      </c>
      <c r="Y20">
        <f t="shared" si="11"/>
        <v>1.9841404222950235E-2</v>
      </c>
      <c r="Z20">
        <f t="shared" si="12"/>
        <v>8.2170827887387918E-3</v>
      </c>
      <c r="AA20">
        <f t="shared" si="13"/>
        <v>0</v>
      </c>
      <c r="AB20" s="2">
        <v>5.5457569500000004</v>
      </c>
    </row>
    <row r="21" spans="1:28" ht="16">
      <c r="A21" s="1" t="s">
        <v>32</v>
      </c>
      <c r="B21">
        <v>0</v>
      </c>
      <c r="C21">
        <v>0</v>
      </c>
      <c r="D21">
        <v>0</v>
      </c>
      <c r="E21">
        <v>0.86161535932578226</v>
      </c>
      <c r="F21">
        <v>0</v>
      </c>
      <c r="G21">
        <v>0</v>
      </c>
      <c r="H21">
        <v>7.4070032753759923E-2</v>
      </c>
      <c r="I21">
        <v>4.6744804117930978E-2</v>
      </c>
      <c r="J21">
        <v>0</v>
      </c>
      <c r="K21">
        <v>2.9479838127210761E-3</v>
      </c>
      <c r="L21">
        <v>0</v>
      </c>
      <c r="M21">
        <v>1.462181998980582E-2</v>
      </c>
      <c r="N21">
        <v>0</v>
      </c>
      <c r="O21">
        <f t="shared" si="1"/>
        <v>0</v>
      </c>
      <c r="P21">
        <f t="shared" si="2"/>
        <v>0</v>
      </c>
      <c r="Q21">
        <f t="shared" si="3"/>
        <v>0</v>
      </c>
      <c r="R21">
        <f t="shared" si="4"/>
        <v>4.646959336736086</v>
      </c>
      <c r="S21">
        <f t="shared" si="5"/>
        <v>0</v>
      </c>
      <c r="T21">
        <f t="shared" si="6"/>
        <v>0</v>
      </c>
      <c r="U21">
        <f t="shared" si="7"/>
        <v>0.39948270020020382</v>
      </c>
      <c r="V21">
        <f t="shared" si="8"/>
        <v>0.25210925221864122</v>
      </c>
      <c r="W21">
        <f t="shared" si="9"/>
        <v>0</v>
      </c>
      <c r="X21">
        <f t="shared" si="10"/>
        <v>1.5899392640575376E-2</v>
      </c>
      <c r="Y21">
        <f t="shared" si="11"/>
        <v>0</v>
      </c>
      <c r="Z21">
        <f t="shared" si="12"/>
        <v>7.886001820449362E-2</v>
      </c>
      <c r="AA21">
        <f t="shared" si="13"/>
        <v>0</v>
      </c>
      <c r="AB21" s="2">
        <v>5.3933106999999998</v>
      </c>
    </row>
    <row r="22" spans="1:28" ht="16">
      <c r="A22" s="1" t="s">
        <v>33</v>
      </c>
      <c r="B22">
        <v>0</v>
      </c>
      <c r="C22">
        <v>0</v>
      </c>
      <c r="D22">
        <v>0</v>
      </c>
      <c r="E22">
        <v>0.88835818844110004</v>
      </c>
      <c r="F22">
        <v>0</v>
      </c>
      <c r="G22">
        <v>0</v>
      </c>
      <c r="H22">
        <v>7.9968914083476408E-2</v>
      </c>
      <c r="I22">
        <v>2.7813581957977649E-2</v>
      </c>
      <c r="J22">
        <v>0</v>
      </c>
      <c r="K22">
        <v>9.238403302979988E-4</v>
      </c>
      <c r="L22">
        <v>0</v>
      </c>
      <c r="M22">
        <v>2.9354751871478999E-3</v>
      </c>
      <c r="N22">
        <v>0</v>
      </c>
      <c r="O22">
        <f t="shared" si="1"/>
        <v>0</v>
      </c>
      <c r="P22">
        <f t="shared" si="2"/>
        <v>0</v>
      </c>
      <c r="Q22">
        <f t="shared" si="3"/>
        <v>0</v>
      </c>
      <c r="R22">
        <f t="shared" si="4"/>
        <v>4.6815228121083754</v>
      </c>
      <c r="S22">
        <f t="shared" si="5"/>
        <v>0</v>
      </c>
      <c r="T22">
        <f t="shared" si="6"/>
        <v>0</v>
      </c>
      <c r="U22">
        <f t="shared" si="7"/>
        <v>0.42142493918842455</v>
      </c>
      <c r="V22">
        <f t="shared" si="8"/>
        <v>0.14657366827586965</v>
      </c>
      <c r="W22">
        <f t="shared" si="9"/>
        <v>0</v>
      </c>
      <c r="X22">
        <f t="shared" si="10"/>
        <v>4.8685087133888373E-3</v>
      </c>
      <c r="Y22">
        <f t="shared" si="11"/>
        <v>0</v>
      </c>
      <c r="Z22">
        <f t="shared" si="12"/>
        <v>1.5469541713941383E-2</v>
      </c>
      <c r="AA22">
        <f t="shared" si="13"/>
        <v>0</v>
      </c>
      <c r="AB22" s="2">
        <v>5.2698594700000001</v>
      </c>
    </row>
    <row r="23" spans="1:28" ht="16">
      <c r="A23" s="1" t="s">
        <v>34</v>
      </c>
      <c r="B23">
        <v>0</v>
      </c>
      <c r="C23">
        <v>0</v>
      </c>
      <c r="D23">
        <v>0</v>
      </c>
      <c r="E23">
        <v>0.88238705585191624</v>
      </c>
      <c r="F23">
        <v>0</v>
      </c>
      <c r="G23">
        <v>0</v>
      </c>
      <c r="H23">
        <v>7.2677996265712905E-2</v>
      </c>
      <c r="I23">
        <v>3.8821631830985873E-2</v>
      </c>
      <c r="J23">
        <v>2.5849875932445832E-3</v>
      </c>
      <c r="K23">
        <v>3.2197500303360279E-3</v>
      </c>
      <c r="L23">
        <v>0</v>
      </c>
      <c r="M23">
        <v>2.5886259132694309E-4</v>
      </c>
      <c r="N23">
        <v>4.9715836477547609E-5</v>
      </c>
      <c r="O23">
        <f t="shared" si="1"/>
        <v>0</v>
      </c>
      <c r="P23">
        <f t="shared" si="2"/>
        <v>0</v>
      </c>
      <c r="Q23">
        <f t="shared" si="3"/>
        <v>0</v>
      </c>
      <c r="R23">
        <f t="shared" si="4"/>
        <v>4.778097026909788</v>
      </c>
      <c r="S23">
        <f t="shared" si="5"/>
        <v>0</v>
      </c>
      <c r="T23">
        <f t="shared" si="6"/>
        <v>0</v>
      </c>
      <c r="U23">
        <f t="shared" si="7"/>
        <v>0.39354897102801761</v>
      </c>
      <c r="V23">
        <f t="shared" si="8"/>
        <v>0.21021786573277867</v>
      </c>
      <c r="W23">
        <f t="shared" si="9"/>
        <v>1.3997623210775492E-2</v>
      </c>
      <c r="X23">
        <f t="shared" si="10"/>
        <v>1.7434841031851098E-2</v>
      </c>
      <c r="Y23">
        <f t="shared" si="11"/>
        <v>0</v>
      </c>
      <c r="Z23">
        <f t="shared" si="12"/>
        <v>1.4017324594627826E-3</v>
      </c>
      <c r="AA23">
        <f t="shared" si="13"/>
        <v>2.6920962732659238E-4</v>
      </c>
      <c r="AB23" s="2">
        <v>5.41496727</v>
      </c>
    </row>
    <row r="24" spans="1:28" ht="16">
      <c r="A24" s="1" t="s">
        <v>35</v>
      </c>
      <c r="B24">
        <v>0</v>
      </c>
      <c r="C24">
        <v>0</v>
      </c>
      <c r="D24">
        <v>5.1927397732589803E-3</v>
      </c>
      <c r="E24">
        <v>0.30968139380541693</v>
      </c>
      <c r="F24">
        <v>0.65214172894715616</v>
      </c>
      <c r="G24">
        <v>0</v>
      </c>
      <c r="H24">
        <v>2.0707252956642479E-2</v>
      </c>
      <c r="I24">
        <v>1.6599360282266E-3</v>
      </c>
      <c r="J24">
        <v>0</v>
      </c>
      <c r="K24">
        <v>1.061694848929888E-2</v>
      </c>
      <c r="L24">
        <v>0</v>
      </c>
      <c r="M24">
        <v>0</v>
      </c>
      <c r="N24">
        <v>0</v>
      </c>
      <c r="O24">
        <f t="shared" si="1"/>
        <v>0</v>
      </c>
      <c r="P24">
        <f t="shared" si="2"/>
        <v>0</v>
      </c>
      <c r="Q24">
        <f t="shared" si="3"/>
        <v>3.4829437282180173E-2</v>
      </c>
      <c r="R24">
        <f t="shared" si="4"/>
        <v>2.0771363777073235</v>
      </c>
      <c r="S24">
        <f t="shared" si="5"/>
        <v>4.3741320457509287</v>
      </c>
      <c r="T24">
        <f t="shared" si="6"/>
        <v>0</v>
      </c>
      <c r="U24">
        <f t="shared" si="7"/>
        <v>0.13889045082784457</v>
      </c>
      <c r="V24">
        <f t="shared" si="8"/>
        <v>1.1133744480183139E-2</v>
      </c>
      <c r="W24">
        <f t="shared" si="9"/>
        <v>0</v>
      </c>
      <c r="X24">
        <f t="shared" si="10"/>
        <v>7.121141395154032E-2</v>
      </c>
      <c r="Y24">
        <f t="shared" si="11"/>
        <v>0</v>
      </c>
      <c r="Z24">
        <f t="shared" si="12"/>
        <v>0</v>
      </c>
      <c r="AA24">
        <f t="shared" si="13"/>
        <v>0</v>
      </c>
      <c r="AB24" s="2">
        <v>6.70733347</v>
      </c>
    </row>
    <row r="25" spans="1:28" ht="16">
      <c r="A25" s="1" t="s">
        <v>36</v>
      </c>
      <c r="B25">
        <v>0</v>
      </c>
      <c r="C25">
        <v>0</v>
      </c>
      <c r="D25">
        <v>1.638609359010294E-3</v>
      </c>
      <c r="E25">
        <v>0.92169499885320916</v>
      </c>
      <c r="F25">
        <v>2.3999248490340189E-2</v>
      </c>
      <c r="G25">
        <v>3.0111313735213378E-4</v>
      </c>
      <c r="H25">
        <v>2.156513480086189E-2</v>
      </c>
      <c r="I25">
        <v>7.3168129798783128E-3</v>
      </c>
      <c r="J25">
        <v>2.298749674925538E-2</v>
      </c>
      <c r="K25">
        <v>4.9658563009273896E-4</v>
      </c>
      <c r="L25">
        <v>0</v>
      </c>
      <c r="M25">
        <v>0</v>
      </c>
      <c r="N25">
        <v>0</v>
      </c>
      <c r="O25">
        <f t="shared" si="1"/>
        <v>0</v>
      </c>
      <c r="P25">
        <f t="shared" si="2"/>
        <v>0</v>
      </c>
      <c r="Q25">
        <f t="shared" si="3"/>
        <v>9.8807981142828571E-3</v>
      </c>
      <c r="R25">
        <f t="shared" si="4"/>
        <v>5.5578116630026626</v>
      </c>
      <c r="S25">
        <f t="shared" si="5"/>
        <v>0.14471522936423639</v>
      </c>
      <c r="T25">
        <f t="shared" si="6"/>
        <v>1.8157092191465188E-3</v>
      </c>
      <c r="U25">
        <f t="shared" si="7"/>
        <v>0.13003754806045459</v>
      </c>
      <c r="V25">
        <f t="shared" si="8"/>
        <v>4.4120309393208948E-2</v>
      </c>
      <c r="W25">
        <f t="shared" si="9"/>
        <v>0.13861437644254232</v>
      </c>
      <c r="X25">
        <f t="shared" si="10"/>
        <v>2.9944064034663404E-3</v>
      </c>
      <c r="Y25">
        <f t="shared" si="11"/>
        <v>0</v>
      </c>
      <c r="Z25">
        <f t="shared" si="12"/>
        <v>0</v>
      </c>
      <c r="AA25">
        <f t="shared" si="13"/>
        <v>0</v>
      </c>
      <c r="AB25" s="2">
        <v>6.0299900400000004</v>
      </c>
    </row>
    <row r="26" spans="1:28" ht="16">
      <c r="A26" s="1" t="s">
        <v>37</v>
      </c>
      <c r="B26">
        <v>9.3455870866037155E-2</v>
      </c>
      <c r="C26">
        <v>1.480854748450334E-2</v>
      </c>
      <c r="D26">
        <v>1.5678794884591809E-2</v>
      </c>
      <c r="E26">
        <v>0.6560775406722239</v>
      </c>
      <c r="F26">
        <v>0.20587781694919649</v>
      </c>
      <c r="G26">
        <v>0</v>
      </c>
      <c r="H26">
        <v>0</v>
      </c>
      <c r="I26">
        <v>6.5083409891709184E-3</v>
      </c>
      <c r="J26">
        <v>4.360923996696602E-3</v>
      </c>
      <c r="K26">
        <v>3.2321641575798481E-3</v>
      </c>
      <c r="L26">
        <v>0</v>
      </c>
      <c r="M26">
        <v>0</v>
      </c>
      <c r="N26">
        <v>0</v>
      </c>
      <c r="O26">
        <f t="shared" si="1"/>
        <v>0.46465800873914687</v>
      </c>
      <c r="P26">
        <f t="shared" si="2"/>
        <v>7.3627372177952913E-2</v>
      </c>
      <c r="Q26">
        <f t="shared" si="3"/>
        <v>7.7954199591665232E-2</v>
      </c>
      <c r="R26">
        <f t="shared" si="4"/>
        <v>3.2619853713012534</v>
      </c>
      <c r="S26">
        <f t="shared" si="5"/>
        <v>1.0236144137408181</v>
      </c>
      <c r="T26">
        <f t="shared" si="6"/>
        <v>0</v>
      </c>
      <c r="U26">
        <f t="shared" si="7"/>
        <v>0</v>
      </c>
      <c r="V26">
        <f t="shared" si="8"/>
        <v>3.2359152359282516E-2</v>
      </c>
      <c r="W26">
        <f t="shared" si="9"/>
        <v>2.1682300339081188E-2</v>
      </c>
      <c r="X26">
        <f t="shared" si="10"/>
        <v>1.6070161750800002E-2</v>
      </c>
      <c r="Y26">
        <f t="shared" si="11"/>
        <v>0</v>
      </c>
      <c r="Z26">
        <f t="shared" si="12"/>
        <v>0</v>
      </c>
      <c r="AA26">
        <f t="shared" si="13"/>
        <v>0</v>
      </c>
      <c r="AB26" s="2">
        <v>4.9719509799999999</v>
      </c>
    </row>
    <row r="27" spans="1:28" ht="16">
      <c r="A27" s="1" t="s">
        <v>38</v>
      </c>
      <c r="B27">
        <v>0</v>
      </c>
      <c r="C27">
        <v>0</v>
      </c>
      <c r="D27">
        <v>0</v>
      </c>
      <c r="E27">
        <v>0.47546546215947172</v>
      </c>
      <c r="F27">
        <v>0.50154811795998788</v>
      </c>
      <c r="G27">
        <v>0</v>
      </c>
      <c r="H27">
        <v>1.381732132847093E-2</v>
      </c>
      <c r="I27">
        <v>4.126220155278932E-3</v>
      </c>
      <c r="J27">
        <v>0</v>
      </c>
      <c r="K27">
        <v>5.0428783967904414E-3</v>
      </c>
      <c r="L27">
        <v>0</v>
      </c>
      <c r="M27">
        <v>0</v>
      </c>
      <c r="N27">
        <v>0</v>
      </c>
      <c r="O27">
        <f t="shared" si="1"/>
        <v>0</v>
      </c>
      <c r="P27">
        <f t="shared" si="2"/>
        <v>0</v>
      </c>
      <c r="Q27">
        <f t="shared" si="3"/>
        <v>0</v>
      </c>
      <c r="R27">
        <f t="shared" si="4"/>
        <v>2.9369226778553439</v>
      </c>
      <c r="S27">
        <f t="shared" si="5"/>
        <v>3.0980337351576273</v>
      </c>
      <c r="T27">
        <f t="shared" si="6"/>
        <v>0</v>
      </c>
      <c r="U27">
        <f t="shared" si="7"/>
        <v>8.5348795204792147E-2</v>
      </c>
      <c r="V27">
        <f t="shared" si="8"/>
        <v>2.5487423403632987E-2</v>
      </c>
      <c r="W27">
        <f t="shared" si="9"/>
        <v>0</v>
      </c>
      <c r="X27">
        <f t="shared" si="10"/>
        <v>3.1149568378603221E-2</v>
      </c>
      <c r="Y27">
        <f t="shared" si="11"/>
        <v>0</v>
      </c>
      <c r="Z27">
        <f t="shared" si="12"/>
        <v>0</v>
      </c>
      <c r="AA27">
        <f t="shared" si="13"/>
        <v>0</v>
      </c>
      <c r="AB27" s="2">
        <v>6.1769422</v>
      </c>
    </row>
    <row r="28" spans="1:28" ht="16">
      <c r="A28" s="1" t="s">
        <v>39</v>
      </c>
      <c r="B28">
        <v>0</v>
      </c>
      <c r="C28">
        <v>0</v>
      </c>
      <c r="D28">
        <v>6.4608958476684228E-3</v>
      </c>
      <c r="E28">
        <v>0.54152974090513772</v>
      </c>
      <c r="F28">
        <v>0.41101881832022902</v>
      </c>
      <c r="G28">
        <v>0</v>
      </c>
      <c r="H28">
        <v>1.645917212480718E-2</v>
      </c>
      <c r="I28">
        <v>1.7436278632963979E-2</v>
      </c>
      <c r="J28">
        <v>0</v>
      </c>
      <c r="K28">
        <v>7.0950941691937056E-3</v>
      </c>
      <c r="L28">
        <v>0</v>
      </c>
      <c r="M28">
        <v>0</v>
      </c>
      <c r="N28">
        <v>0</v>
      </c>
      <c r="O28">
        <f t="shared" si="1"/>
        <v>0</v>
      </c>
      <c r="P28">
        <f t="shared" si="2"/>
        <v>0</v>
      </c>
      <c r="Q28">
        <f t="shared" si="3"/>
        <v>4.48101141008704E-2</v>
      </c>
      <c r="R28">
        <f t="shared" si="4"/>
        <v>3.7558273730307863</v>
      </c>
      <c r="S28">
        <f t="shared" si="5"/>
        <v>2.8506573361929233</v>
      </c>
      <c r="T28">
        <f t="shared" si="6"/>
        <v>0</v>
      </c>
      <c r="U28">
        <f t="shared" si="7"/>
        <v>0.11415404276864086</v>
      </c>
      <c r="V28">
        <f t="shared" si="8"/>
        <v>0.12093085130286446</v>
      </c>
      <c r="W28">
        <f t="shared" si="9"/>
        <v>0</v>
      </c>
      <c r="X28">
        <f t="shared" si="10"/>
        <v>4.9208652603914674E-2</v>
      </c>
      <c r="Y28">
        <f t="shared" si="11"/>
        <v>0</v>
      </c>
      <c r="Z28">
        <f t="shared" si="12"/>
        <v>0</v>
      </c>
      <c r="AA28">
        <f t="shared" si="13"/>
        <v>0</v>
      </c>
      <c r="AB28" s="2">
        <v>6.9355883699999996</v>
      </c>
    </row>
    <row r="29" spans="1:28" ht="16">
      <c r="A29" s="1" t="s">
        <v>40</v>
      </c>
      <c r="B29">
        <v>0</v>
      </c>
      <c r="C29">
        <v>0</v>
      </c>
      <c r="D29">
        <v>0</v>
      </c>
      <c r="E29">
        <v>0.80880176317063657</v>
      </c>
      <c r="F29">
        <v>0</v>
      </c>
      <c r="G29">
        <v>2.7952017704512547E-4</v>
      </c>
      <c r="H29">
        <v>0.13823232951262579</v>
      </c>
      <c r="I29">
        <v>3.2299188270888887E-2</v>
      </c>
      <c r="J29">
        <v>0</v>
      </c>
      <c r="K29">
        <v>0</v>
      </c>
      <c r="L29">
        <v>8.6349031071480727E-3</v>
      </c>
      <c r="M29">
        <v>1.1752295761655431E-2</v>
      </c>
      <c r="N29">
        <v>0</v>
      </c>
      <c r="O29">
        <f t="shared" si="1"/>
        <v>0</v>
      </c>
      <c r="P29">
        <f t="shared" si="2"/>
        <v>0</v>
      </c>
      <c r="Q29">
        <f t="shared" si="3"/>
        <v>0</v>
      </c>
      <c r="R29">
        <f t="shared" si="4"/>
        <v>3.869261258315225</v>
      </c>
      <c r="S29">
        <f t="shared" si="5"/>
        <v>0</v>
      </c>
      <c r="T29">
        <f t="shared" si="6"/>
        <v>1.3372084992969286E-3</v>
      </c>
      <c r="U29">
        <f t="shared" si="7"/>
        <v>0.66129553814662756</v>
      </c>
      <c r="V29">
        <f t="shared" si="8"/>
        <v>0.15451746465247698</v>
      </c>
      <c r="W29">
        <f t="shared" si="9"/>
        <v>0</v>
      </c>
      <c r="X29">
        <f t="shared" si="10"/>
        <v>0</v>
      </c>
      <c r="Y29">
        <f t="shared" si="11"/>
        <v>4.1308881339252215E-2</v>
      </c>
      <c r="Z29">
        <f t="shared" si="12"/>
        <v>5.6222309047120611E-2</v>
      </c>
      <c r="AA29">
        <f t="shared" si="13"/>
        <v>0</v>
      </c>
      <c r="AB29" s="2">
        <v>4.7839426600000001</v>
      </c>
    </row>
    <row r="30" spans="1:28" ht="16">
      <c r="A30" s="1" t="s">
        <v>41</v>
      </c>
      <c r="B30">
        <v>0</v>
      </c>
      <c r="C30">
        <v>0</v>
      </c>
      <c r="D30">
        <v>0</v>
      </c>
      <c r="E30">
        <v>0.98444309610086311</v>
      </c>
      <c r="F30">
        <v>0</v>
      </c>
      <c r="G30">
        <v>1.8919539628393161E-4</v>
      </c>
      <c r="H30">
        <v>7.7581286920067928E-4</v>
      </c>
      <c r="I30">
        <v>1.142272222163127E-2</v>
      </c>
      <c r="J30">
        <v>6.5596013073956807E-4</v>
      </c>
      <c r="K30">
        <v>2.3921819824353212E-3</v>
      </c>
      <c r="L30">
        <v>0</v>
      </c>
      <c r="M30">
        <v>8.6219544744798148E-5</v>
      </c>
      <c r="N30">
        <v>3.4811754101240127E-5</v>
      </c>
      <c r="O30">
        <f t="shared" si="1"/>
        <v>0</v>
      </c>
      <c r="P30">
        <f t="shared" si="2"/>
        <v>0</v>
      </c>
      <c r="Q30">
        <f t="shared" si="3"/>
        <v>0</v>
      </c>
      <c r="R30">
        <f t="shared" si="4"/>
        <v>4.2882050461663006</v>
      </c>
      <c r="S30">
        <f t="shared" si="5"/>
        <v>0</v>
      </c>
      <c r="T30">
        <f t="shared" si="6"/>
        <v>8.2412955738079988E-4</v>
      </c>
      <c r="U30">
        <f t="shared" si="7"/>
        <v>3.3794179407260027E-3</v>
      </c>
      <c r="V30">
        <f t="shared" si="8"/>
        <v>4.9757040570211387E-2</v>
      </c>
      <c r="W30">
        <f t="shared" si="9"/>
        <v>2.8573429524392964E-3</v>
      </c>
      <c r="X30">
        <f t="shared" si="10"/>
        <v>1.0420274050432499E-2</v>
      </c>
      <c r="Y30">
        <f t="shared" si="11"/>
        <v>0</v>
      </c>
      <c r="Z30">
        <f t="shared" si="12"/>
        <v>3.7556978998298899E-4</v>
      </c>
      <c r="AA30">
        <f t="shared" si="13"/>
        <v>1.5163897252578584E-4</v>
      </c>
      <c r="AB30" s="2">
        <v>4.35597046</v>
      </c>
    </row>
    <row r="31" spans="1:28" ht="16">
      <c r="A31" s="1" t="s">
        <v>42</v>
      </c>
      <c r="B31">
        <v>8.5157833384799791E-3</v>
      </c>
      <c r="C31">
        <v>7.3722500248060929E-2</v>
      </c>
      <c r="D31">
        <v>8.6836966531938526E-3</v>
      </c>
      <c r="E31">
        <v>0.83745849599079369</v>
      </c>
      <c r="F31">
        <v>4.7566888199333079E-2</v>
      </c>
      <c r="G31">
        <v>3.5867441899088948E-3</v>
      </c>
      <c r="H31">
        <v>0</v>
      </c>
      <c r="I31">
        <v>6.7942855142997059E-3</v>
      </c>
      <c r="J31">
        <v>1.3289222568195791E-2</v>
      </c>
      <c r="K31">
        <v>3.8238329773405098E-4</v>
      </c>
      <c r="L31">
        <v>0</v>
      </c>
      <c r="M31">
        <v>0</v>
      </c>
      <c r="N31">
        <v>0</v>
      </c>
      <c r="O31">
        <f t="shared" si="1"/>
        <v>3.6371381050519611E-2</v>
      </c>
      <c r="P31">
        <f t="shared" si="2"/>
        <v>0.31487287099038191</v>
      </c>
      <c r="Q31">
        <f t="shared" si="3"/>
        <v>3.7088548093194069E-2</v>
      </c>
      <c r="R31">
        <f t="shared" si="4"/>
        <v>3.5768314975839983</v>
      </c>
      <c r="S31">
        <f t="shared" si="5"/>
        <v>0.20316080709425571</v>
      </c>
      <c r="T31">
        <f t="shared" si="6"/>
        <v>1.5319182566849941E-2</v>
      </c>
      <c r="U31">
        <f t="shared" si="7"/>
        <v>0</v>
      </c>
      <c r="V31">
        <f t="shared" si="8"/>
        <v>2.9018768747905852E-2</v>
      </c>
      <c r="W31">
        <f t="shared" si="9"/>
        <v>5.6759003685418891E-2</v>
      </c>
      <c r="X31">
        <f t="shared" si="10"/>
        <v>1.6331801874754986E-3</v>
      </c>
      <c r="Y31">
        <f t="shared" si="11"/>
        <v>0</v>
      </c>
      <c r="Z31">
        <f t="shared" si="12"/>
        <v>0</v>
      </c>
      <c r="AA31">
        <f t="shared" si="13"/>
        <v>0</v>
      </c>
      <c r="AB31" s="2">
        <v>4.2710552399999999</v>
      </c>
    </row>
    <row r="32" spans="1:28" ht="16">
      <c r="A32" s="1" t="s">
        <v>43</v>
      </c>
      <c r="B32">
        <v>0</v>
      </c>
      <c r="C32">
        <v>0</v>
      </c>
      <c r="D32">
        <v>4.9371011209950518E-3</v>
      </c>
      <c r="E32">
        <v>0.91141318853853714</v>
      </c>
      <c r="F32">
        <v>6.4507825161253238E-2</v>
      </c>
      <c r="G32">
        <v>4.6030759825012057E-5</v>
      </c>
      <c r="H32">
        <v>0</v>
      </c>
      <c r="I32">
        <v>1.1224076496024979E-2</v>
      </c>
      <c r="J32">
        <v>0</v>
      </c>
      <c r="K32">
        <v>7.8717779233644786E-3</v>
      </c>
      <c r="L32">
        <v>0</v>
      </c>
      <c r="M32">
        <v>0</v>
      </c>
      <c r="N32">
        <v>0</v>
      </c>
      <c r="O32">
        <f t="shared" si="1"/>
        <v>0</v>
      </c>
      <c r="P32">
        <f t="shared" si="2"/>
        <v>0</v>
      </c>
      <c r="Q32">
        <f t="shared" si="3"/>
        <v>2.4009006482667537E-2</v>
      </c>
      <c r="R32">
        <f t="shared" si="4"/>
        <v>4.4321808720823155</v>
      </c>
      <c r="S32">
        <f t="shared" si="5"/>
        <v>0.31370003459989193</v>
      </c>
      <c r="T32">
        <f t="shared" si="6"/>
        <v>2.2384650100463975E-4</v>
      </c>
      <c r="U32">
        <f t="shared" si="7"/>
        <v>0</v>
      </c>
      <c r="V32">
        <f t="shared" si="8"/>
        <v>5.4582419673167987E-2</v>
      </c>
      <c r="W32">
        <f t="shared" si="9"/>
        <v>0</v>
      </c>
      <c r="X32">
        <f t="shared" si="10"/>
        <v>3.8280270660951361E-2</v>
      </c>
      <c r="Y32">
        <f t="shared" si="11"/>
        <v>0</v>
      </c>
      <c r="Z32">
        <f t="shared" si="12"/>
        <v>0</v>
      </c>
      <c r="AA32">
        <f t="shared" si="13"/>
        <v>0</v>
      </c>
      <c r="AB32" s="2">
        <v>4.8629764499999997</v>
      </c>
    </row>
    <row r="33" spans="1:28" ht="16">
      <c r="A33" s="1" t="s">
        <v>44</v>
      </c>
      <c r="B33">
        <v>0</v>
      </c>
      <c r="C33">
        <v>0</v>
      </c>
      <c r="D33">
        <v>0</v>
      </c>
      <c r="E33">
        <v>0.99329749215226537</v>
      </c>
      <c r="F33">
        <v>0</v>
      </c>
      <c r="G33">
        <v>0</v>
      </c>
      <c r="H33">
        <v>3.4343058746480449E-4</v>
      </c>
      <c r="I33">
        <v>0</v>
      </c>
      <c r="J33">
        <v>0</v>
      </c>
      <c r="K33">
        <v>6.3515601243610042E-3</v>
      </c>
      <c r="L33">
        <v>0</v>
      </c>
      <c r="M33">
        <v>0</v>
      </c>
      <c r="N33">
        <v>7.5171359088489936E-6</v>
      </c>
      <c r="O33">
        <f t="shared" si="1"/>
        <v>0</v>
      </c>
      <c r="P33">
        <f t="shared" si="2"/>
        <v>0</v>
      </c>
      <c r="Q33">
        <f t="shared" si="3"/>
        <v>0</v>
      </c>
      <c r="R33">
        <f t="shared" si="4"/>
        <v>4.3985899822218579</v>
      </c>
      <c r="S33">
        <f t="shared" si="5"/>
        <v>0</v>
      </c>
      <c r="T33">
        <f t="shared" si="6"/>
        <v>0</v>
      </c>
      <c r="U33">
        <f t="shared" si="7"/>
        <v>1.5208035392680634E-3</v>
      </c>
      <c r="V33">
        <f t="shared" si="8"/>
        <v>0</v>
      </c>
      <c r="W33">
        <f t="shared" si="9"/>
        <v>0</v>
      </c>
      <c r="X33">
        <f t="shared" si="10"/>
        <v>2.8126426327684168E-2</v>
      </c>
      <c r="Y33">
        <f t="shared" si="11"/>
        <v>0</v>
      </c>
      <c r="Z33">
        <f t="shared" si="12"/>
        <v>0</v>
      </c>
      <c r="AA33">
        <f t="shared" si="13"/>
        <v>3.3287911189646686E-5</v>
      </c>
      <c r="AB33" s="2">
        <v>4.4282705</v>
      </c>
    </row>
    <row r="34" spans="1:28" ht="16">
      <c r="A34" s="1" t="s">
        <v>45</v>
      </c>
      <c r="B34">
        <v>9.5064299888758721E-3</v>
      </c>
      <c r="C34">
        <v>1.5749092308985781E-2</v>
      </c>
      <c r="D34">
        <v>7.7966182355172671E-3</v>
      </c>
      <c r="E34">
        <v>0.93797492267716875</v>
      </c>
      <c r="F34">
        <v>0</v>
      </c>
      <c r="G34">
        <v>8.1758756051105927E-4</v>
      </c>
      <c r="H34">
        <v>6.7961976385245261E-3</v>
      </c>
      <c r="I34">
        <v>9.1327861228251411E-3</v>
      </c>
      <c r="J34">
        <v>6.5395056708053012E-3</v>
      </c>
      <c r="K34">
        <v>5.6868597967863546E-3</v>
      </c>
      <c r="L34">
        <v>0</v>
      </c>
      <c r="M34">
        <v>0</v>
      </c>
      <c r="N34">
        <v>0</v>
      </c>
      <c r="O34">
        <f t="shared" si="1"/>
        <v>5.0005745272531037E-2</v>
      </c>
      <c r="P34">
        <f t="shared" si="2"/>
        <v>8.2843412216603005E-2</v>
      </c>
      <c r="Q34">
        <f t="shared" si="3"/>
        <v>4.1011789486554602E-2</v>
      </c>
      <c r="R34">
        <f t="shared" si="4"/>
        <v>4.9339378831277623</v>
      </c>
      <c r="S34">
        <f t="shared" si="5"/>
        <v>0</v>
      </c>
      <c r="T34">
        <f t="shared" si="6"/>
        <v>4.3006759989551654E-3</v>
      </c>
      <c r="U34">
        <f t="shared" si="7"/>
        <v>3.5749374721269191E-2</v>
      </c>
      <c r="V34">
        <f t="shared" si="8"/>
        <v>4.8040302934004339E-2</v>
      </c>
      <c r="W34">
        <f t="shared" si="9"/>
        <v>3.4399123032013319E-2</v>
      </c>
      <c r="X34">
        <f t="shared" si="10"/>
        <v>2.9914033210307507E-2</v>
      </c>
      <c r="Y34">
        <f t="shared" si="11"/>
        <v>0</v>
      </c>
      <c r="Z34">
        <f t="shared" si="12"/>
        <v>0</v>
      </c>
      <c r="AA34">
        <f t="shared" si="13"/>
        <v>0</v>
      </c>
      <c r="AB34" s="2">
        <v>5.2602023400000002</v>
      </c>
    </row>
    <row r="35" spans="1:28" ht="16">
      <c r="A35" s="1" t="s">
        <v>46</v>
      </c>
      <c r="B35">
        <v>0</v>
      </c>
      <c r="C35">
        <v>0</v>
      </c>
      <c r="D35">
        <v>9.6031118898350955E-3</v>
      </c>
      <c r="E35">
        <v>0.9649869585873937</v>
      </c>
      <c r="F35">
        <v>2.563069056133023E-3</v>
      </c>
      <c r="G35">
        <v>3.5978945066691108E-4</v>
      </c>
      <c r="H35">
        <v>3.465070188342868E-3</v>
      </c>
      <c r="I35">
        <v>8.3169012334893665E-3</v>
      </c>
      <c r="J35">
        <v>3.6397066334551962E-3</v>
      </c>
      <c r="K35">
        <v>3.1450938316227089E-3</v>
      </c>
      <c r="L35">
        <v>0</v>
      </c>
      <c r="M35">
        <v>3.874300735317479E-3</v>
      </c>
      <c r="N35">
        <v>4.5998393743705632E-5</v>
      </c>
      <c r="O35">
        <f t="shared" si="1"/>
        <v>0</v>
      </c>
      <c r="P35">
        <f t="shared" si="2"/>
        <v>0</v>
      </c>
      <c r="Q35">
        <f t="shared" si="3"/>
        <v>5.4710022326865906E-2</v>
      </c>
      <c r="R35">
        <f t="shared" si="4"/>
        <v>5.4976406247368343</v>
      </c>
      <c r="S35">
        <f t="shared" si="5"/>
        <v>1.4602096371986015E-2</v>
      </c>
      <c r="T35">
        <f t="shared" si="6"/>
        <v>2.0497614840657178E-3</v>
      </c>
      <c r="U35">
        <f t="shared" si="7"/>
        <v>1.9740899569134471E-2</v>
      </c>
      <c r="V35">
        <f t="shared" si="8"/>
        <v>4.7382333705408425E-2</v>
      </c>
      <c r="W35">
        <f t="shared" si="9"/>
        <v>2.073582328977687E-2</v>
      </c>
      <c r="X35">
        <f t="shared" si="10"/>
        <v>1.7917957816392931E-2</v>
      </c>
      <c r="Y35">
        <f t="shared" si="11"/>
        <v>0</v>
      </c>
      <c r="Z35">
        <f t="shared" si="12"/>
        <v>2.2072332610700438E-2</v>
      </c>
      <c r="AA35">
        <f t="shared" si="13"/>
        <v>2.6205808883492229E-4</v>
      </c>
      <c r="AB35" s="2">
        <v>5.6971139099999997</v>
      </c>
    </row>
    <row r="36" spans="1:28" ht="16">
      <c r="A36" s="1" t="s">
        <v>47</v>
      </c>
      <c r="B36">
        <v>0</v>
      </c>
      <c r="C36">
        <v>7.8232590144489567E-3</v>
      </c>
      <c r="D36">
        <v>2.9395835075738591E-2</v>
      </c>
      <c r="E36">
        <v>0.43065027151518531</v>
      </c>
      <c r="F36">
        <v>0.50627569608066447</v>
      </c>
      <c r="G36">
        <v>2.417457971097789E-3</v>
      </c>
      <c r="H36">
        <v>0</v>
      </c>
      <c r="I36">
        <v>4.5991617349662841E-3</v>
      </c>
      <c r="J36">
        <v>0</v>
      </c>
      <c r="K36">
        <v>1.115989641016818E-2</v>
      </c>
      <c r="L36">
        <v>0</v>
      </c>
      <c r="M36">
        <v>0</v>
      </c>
      <c r="N36">
        <v>7.6784221977305982E-3</v>
      </c>
      <c r="O36">
        <f t="shared" si="1"/>
        <v>0</v>
      </c>
      <c r="P36">
        <f t="shared" si="2"/>
        <v>4.5654624865680324E-2</v>
      </c>
      <c r="Q36">
        <f t="shared" si="3"/>
        <v>0.17154689887137564</v>
      </c>
      <c r="R36">
        <f t="shared" si="4"/>
        <v>2.513169582908668</v>
      </c>
      <c r="S36">
        <f t="shared" si="5"/>
        <v>2.954501051350142</v>
      </c>
      <c r="T36">
        <f t="shared" si="6"/>
        <v>1.4107693046488271E-2</v>
      </c>
      <c r="U36">
        <f t="shared" si="7"/>
        <v>0</v>
      </c>
      <c r="V36">
        <f t="shared" si="8"/>
        <v>2.6839582240428601E-2</v>
      </c>
      <c r="W36">
        <f t="shared" si="9"/>
        <v>0</v>
      </c>
      <c r="X36">
        <f t="shared" si="10"/>
        <v>6.5126424065095112E-2</v>
      </c>
      <c r="Y36">
        <f t="shared" si="11"/>
        <v>0</v>
      </c>
      <c r="Z36">
        <f t="shared" si="12"/>
        <v>0</v>
      </c>
      <c r="AA36">
        <f t="shared" si="13"/>
        <v>4.480939265212288E-2</v>
      </c>
      <c r="AB36" s="2">
        <v>5.8357552500000001</v>
      </c>
    </row>
    <row r="37" spans="1:28" ht="16">
      <c r="A37" s="1" t="s">
        <v>48</v>
      </c>
      <c r="B37">
        <v>0</v>
      </c>
      <c r="C37">
        <v>0</v>
      </c>
      <c r="D37">
        <v>0</v>
      </c>
      <c r="E37">
        <v>0.95803257753619353</v>
      </c>
      <c r="F37">
        <v>0</v>
      </c>
      <c r="G37">
        <v>0</v>
      </c>
      <c r="H37">
        <v>1.8051377453375629E-2</v>
      </c>
      <c r="I37">
        <v>1.6949798017800759E-2</v>
      </c>
      <c r="J37">
        <v>0</v>
      </c>
      <c r="K37">
        <v>4.5583034354883117E-3</v>
      </c>
      <c r="L37">
        <v>0</v>
      </c>
      <c r="M37">
        <v>2.4079435571417282E-3</v>
      </c>
      <c r="N37">
        <v>0</v>
      </c>
      <c r="O37">
        <f t="shared" si="1"/>
        <v>0</v>
      </c>
      <c r="P37">
        <f t="shared" si="2"/>
        <v>0</v>
      </c>
      <c r="Q37">
        <f t="shared" si="3"/>
        <v>0</v>
      </c>
      <c r="R37">
        <f t="shared" si="4"/>
        <v>5.2800373260763438</v>
      </c>
      <c r="S37">
        <f t="shared" si="5"/>
        <v>0</v>
      </c>
      <c r="T37">
        <f t="shared" si="6"/>
        <v>0</v>
      </c>
      <c r="U37">
        <f t="shared" si="7"/>
        <v>9.9487166695347032E-2</v>
      </c>
      <c r="V37">
        <f t="shared" si="8"/>
        <v>9.3415994718678327E-2</v>
      </c>
      <c r="W37">
        <f t="shared" si="9"/>
        <v>0</v>
      </c>
      <c r="X37">
        <f t="shared" si="10"/>
        <v>2.5122331794662851E-2</v>
      </c>
      <c r="Y37">
        <f t="shared" si="11"/>
        <v>0</v>
      </c>
      <c r="Z37">
        <f t="shared" si="12"/>
        <v>1.3270980714967438E-2</v>
      </c>
      <c r="AA37">
        <f t="shared" si="13"/>
        <v>0</v>
      </c>
      <c r="AB37" s="2">
        <v>5.5113338000000001</v>
      </c>
    </row>
    <row r="38" spans="1:28" ht="16">
      <c r="A38" s="1" t="s">
        <v>49</v>
      </c>
      <c r="B38">
        <v>0</v>
      </c>
      <c r="C38">
        <v>0</v>
      </c>
      <c r="D38">
        <v>6.0685136418441336E-3</v>
      </c>
      <c r="E38">
        <v>0.96204014893456002</v>
      </c>
      <c r="F38">
        <v>0</v>
      </c>
      <c r="G38">
        <v>0</v>
      </c>
      <c r="H38">
        <v>9.874628675645666E-3</v>
      </c>
      <c r="I38">
        <v>1.610999968223778E-2</v>
      </c>
      <c r="J38">
        <v>2.3053952695535722E-3</v>
      </c>
      <c r="K38">
        <v>3.6013137961589071E-3</v>
      </c>
      <c r="L38">
        <v>0</v>
      </c>
      <c r="M38">
        <v>0</v>
      </c>
      <c r="N38">
        <v>0</v>
      </c>
      <c r="O38">
        <f t="shared" si="1"/>
        <v>0</v>
      </c>
      <c r="P38">
        <f t="shared" si="2"/>
        <v>0</v>
      </c>
      <c r="Q38">
        <f t="shared" si="3"/>
        <v>3.2596896137155017E-2</v>
      </c>
      <c r="R38">
        <f t="shared" si="4"/>
        <v>5.1675788612157243</v>
      </c>
      <c r="S38">
        <f t="shared" si="5"/>
        <v>0</v>
      </c>
      <c r="T38">
        <f t="shared" si="6"/>
        <v>0</v>
      </c>
      <c r="U38">
        <f t="shared" si="7"/>
        <v>5.3041364711372552E-2</v>
      </c>
      <c r="V38">
        <f t="shared" si="8"/>
        <v>8.6534531749346777E-2</v>
      </c>
      <c r="W38">
        <f t="shared" si="9"/>
        <v>1.2383383245372366E-2</v>
      </c>
      <c r="X38">
        <f t="shared" si="10"/>
        <v>1.9344382941029643E-2</v>
      </c>
      <c r="Y38">
        <f t="shared" si="11"/>
        <v>0</v>
      </c>
      <c r="Z38">
        <f t="shared" si="12"/>
        <v>0</v>
      </c>
      <c r="AA38">
        <f t="shared" si="13"/>
        <v>0</v>
      </c>
      <c r="AB38" s="2">
        <v>5.37147942</v>
      </c>
    </row>
    <row r="39" spans="1:28" ht="16">
      <c r="A39" s="1" t="s">
        <v>50</v>
      </c>
      <c r="B39">
        <v>0</v>
      </c>
      <c r="C39">
        <v>0</v>
      </c>
      <c r="D39">
        <v>1.42935641487622E-2</v>
      </c>
      <c r="E39">
        <v>0.37794313468302732</v>
      </c>
      <c r="F39">
        <v>0.58747208715237287</v>
      </c>
      <c r="G39">
        <v>0</v>
      </c>
      <c r="H39">
        <v>2.1019694964099318E-3</v>
      </c>
      <c r="I39">
        <v>7.1563530308323461E-3</v>
      </c>
      <c r="J39">
        <v>0</v>
      </c>
      <c r="K39">
        <v>1.103289148859548E-2</v>
      </c>
      <c r="L39">
        <v>0</v>
      </c>
      <c r="M39">
        <v>0</v>
      </c>
      <c r="N39">
        <v>0</v>
      </c>
      <c r="O39">
        <f t="shared" si="1"/>
        <v>0</v>
      </c>
      <c r="P39">
        <f t="shared" si="2"/>
        <v>0</v>
      </c>
      <c r="Q39">
        <f t="shared" si="3"/>
        <v>8.5765290180169929E-2</v>
      </c>
      <c r="R39">
        <f t="shared" si="4"/>
        <v>2.2677620697214222</v>
      </c>
      <c r="S39">
        <f t="shared" si="5"/>
        <v>3.5249930320378891</v>
      </c>
      <c r="T39">
        <f t="shared" si="6"/>
        <v>0</v>
      </c>
      <c r="U39">
        <f t="shared" si="7"/>
        <v>1.26123912785654E-2</v>
      </c>
      <c r="V39">
        <f t="shared" si="8"/>
        <v>4.2940073443769163E-2</v>
      </c>
      <c r="W39">
        <f t="shared" si="9"/>
        <v>0</v>
      </c>
      <c r="X39">
        <f t="shared" si="10"/>
        <v>6.6200363338185395E-2</v>
      </c>
      <c r="Y39">
        <f t="shared" si="11"/>
        <v>0</v>
      </c>
      <c r="Z39">
        <f t="shared" si="12"/>
        <v>0</v>
      </c>
      <c r="AA39">
        <f t="shared" si="13"/>
        <v>0</v>
      </c>
      <c r="AB39" s="2">
        <v>6.0002732200000004</v>
      </c>
    </row>
    <row r="40" spans="1:28" ht="16">
      <c r="A40" s="1" t="s">
        <v>51</v>
      </c>
      <c r="B40">
        <v>0</v>
      </c>
      <c r="C40">
        <v>1.162676020571415E-2</v>
      </c>
      <c r="D40">
        <v>4.8910176028577633E-2</v>
      </c>
      <c r="E40">
        <v>0.35568002353153672</v>
      </c>
      <c r="F40">
        <v>0.55293003753923964</v>
      </c>
      <c r="G40">
        <v>3.9835325291845752E-3</v>
      </c>
      <c r="H40">
        <v>0</v>
      </c>
      <c r="I40">
        <v>9.1861063927728328E-3</v>
      </c>
      <c r="J40">
        <v>1.202283298909735E-2</v>
      </c>
      <c r="K40">
        <v>5.2544384087026899E-3</v>
      </c>
      <c r="L40">
        <v>0</v>
      </c>
      <c r="M40">
        <v>0</v>
      </c>
      <c r="N40">
        <v>4.060923751744457E-4</v>
      </c>
      <c r="O40">
        <f t="shared" si="1"/>
        <v>0</v>
      </c>
      <c r="P40">
        <f t="shared" si="2"/>
        <v>7.4008523179382377E-2</v>
      </c>
      <c r="Q40">
        <f t="shared" si="3"/>
        <v>0.31133091525700068</v>
      </c>
      <c r="R40">
        <f t="shared" si="4"/>
        <v>2.2640316649035204</v>
      </c>
      <c r="S40">
        <f t="shared" si="5"/>
        <v>3.519599163977603</v>
      </c>
      <c r="T40">
        <f t="shared" si="6"/>
        <v>2.5356621647455047E-2</v>
      </c>
      <c r="U40">
        <f t="shared" si="7"/>
        <v>0</v>
      </c>
      <c r="V40">
        <f t="shared" si="8"/>
        <v>5.8472881169741336E-2</v>
      </c>
      <c r="W40">
        <f t="shared" si="9"/>
        <v>7.6529669332833769E-2</v>
      </c>
      <c r="X40">
        <f t="shared" si="10"/>
        <v>3.3446396062592941E-2</v>
      </c>
      <c r="Y40">
        <f t="shared" si="11"/>
        <v>0</v>
      </c>
      <c r="Z40">
        <f t="shared" si="12"/>
        <v>0</v>
      </c>
      <c r="AA40">
        <f t="shared" si="13"/>
        <v>2.5849244698706148E-3</v>
      </c>
      <c r="AB40" s="2">
        <v>6.3653607599999997</v>
      </c>
    </row>
    <row r="41" spans="1:28" ht="16">
      <c r="A41" s="1" t="s">
        <v>52</v>
      </c>
      <c r="B41">
        <v>0</v>
      </c>
      <c r="C41">
        <v>0</v>
      </c>
      <c r="D41">
        <v>0</v>
      </c>
      <c r="E41">
        <v>0.90854992515375954</v>
      </c>
      <c r="F41">
        <v>0</v>
      </c>
      <c r="G41">
        <v>0</v>
      </c>
      <c r="H41">
        <v>4.721182060042476E-2</v>
      </c>
      <c r="I41">
        <v>4.004098690996042E-2</v>
      </c>
      <c r="J41">
        <v>0</v>
      </c>
      <c r="K41">
        <v>4.1972673358553723E-3</v>
      </c>
      <c r="L41">
        <v>0</v>
      </c>
      <c r="M41">
        <v>0</v>
      </c>
      <c r="N41">
        <v>0</v>
      </c>
      <c r="O41">
        <f t="shared" si="1"/>
        <v>0</v>
      </c>
      <c r="P41">
        <f t="shared" si="2"/>
        <v>0</v>
      </c>
      <c r="Q41">
        <f t="shared" si="3"/>
        <v>0</v>
      </c>
      <c r="R41">
        <f t="shared" si="4"/>
        <v>4.4775213559812954</v>
      </c>
      <c r="S41">
        <f t="shared" si="5"/>
        <v>0</v>
      </c>
      <c r="T41">
        <f t="shared" si="6"/>
        <v>0</v>
      </c>
      <c r="U41">
        <f t="shared" si="7"/>
        <v>0.23266958605206461</v>
      </c>
      <c r="V41">
        <f t="shared" si="8"/>
        <v>0.19733023914296605</v>
      </c>
      <c r="W41">
        <f t="shared" si="9"/>
        <v>0</v>
      </c>
      <c r="X41">
        <f t="shared" si="10"/>
        <v>2.0684998823674583E-2</v>
      </c>
      <c r="Y41">
        <f t="shared" si="11"/>
        <v>0</v>
      </c>
      <c r="Z41">
        <f t="shared" si="12"/>
        <v>0</v>
      </c>
      <c r="AA41">
        <f t="shared" si="13"/>
        <v>0</v>
      </c>
      <c r="AB41" s="2">
        <v>4.9282061800000001</v>
      </c>
    </row>
    <row r="42" spans="1:28" ht="16">
      <c r="A42" s="1" t="s">
        <v>53</v>
      </c>
      <c r="B42">
        <v>0.13697185774114451</v>
      </c>
      <c r="C42">
        <v>0.17021075329657509</v>
      </c>
      <c r="D42">
        <v>1.684345799340483E-2</v>
      </c>
      <c r="E42">
        <v>0.30952906447208778</v>
      </c>
      <c r="F42">
        <v>0.35575785424147072</v>
      </c>
      <c r="G42">
        <v>1.526667080606552E-3</v>
      </c>
      <c r="H42">
        <v>0</v>
      </c>
      <c r="I42">
        <v>7.1231224710414133E-3</v>
      </c>
      <c r="J42">
        <v>0</v>
      </c>
      <c r="K42">
        <v>2.0372227036690579E-3</v>
      </c>
      <c r="L42">
        <v>0</v>
      </c>
      <c r="M42">
        <v>0</v>
      </c>
      <c r="N42">
        <v>0</v>
      </c>
      <c r="O42">
        <f t="shared" si="1"/>
        <v>0.7708487608756095</v>
      </c>
      <c r="P42">
        <f t="shared" si="2"/>
        <v>0.95791026295583515</v>
      </c>
      <c r="Q42">
        <f t="shared" si="3"/>
        <v>9.4791433344021486E-2</v>
      </c>
      <c r="R42">
        <f t="shared" si="4"/>
        <v>1.7419643694561882</v>
      </c>
      <c r="S42">
        <f t="shared" si="5"/>
        <v>2.0021302597214228</v>
      </c>
      <c r="T42">
        <f t="shared" si="6"/>
        <v>8.5917607219664731E-3</v>
      </c>
      <c r="U42">
        <f t="shared" si="7"/>
        <v>0</v>
      </c>
      <c r="V42">
        <f t="shared" si="8"/>
        <v>4.0087432710041324E-2</v>
      </c>
      <c r="W42">
        <f t="shared" si="9"/>
        <v>0</v>
      </c>
      <c r="X42">
        <f t="shared" si="10"/>
        <v>1.1465060214914701E-2</v>
      </c>
      <c r="Y42">
        <f t="shared" si="11"/>
        <v>0</v>
      </c>
      <c r="Z42">
        <f t="shared" si="12"/>
        <v>0</v>
      </c>
      <c r="AA42">
        <f t="shared" si="13"/>
        <v>0</v>
      </c>
      <c r="AB42" s="2">
        <v>5.6277893399999996</v>
      </c>
    </row>
    <row r="43" spans="1:28" ht="16">
      <c r="A43" s="1" t="s">
        <v>54</v>
      </c>
      <c r="B43">
        <v>1.0659543538609781E-3</v>
      </c>
      <c r="C43">
        <v>0.26175497865584391</v>
      </c>
      <c r="D43">
        <v>3.1173052311887831E-2</v>
      </c>
      <c r="E43">
        <v>0.18215832401601861</v>
      </c>
      <c r="F43">
        <v>0.48957863911842803</v>
      </c>
      <c r="G43">
        <v>0</v>
      </c>
      <c r="H43">
        <v>0</v>
      </c>
      <c r="I43">
        <v>5.5114149694137941E-3</v>
      </c>
      <c r="J43">
        <v>2.3627911981991889E-2</v>
      </c>
      <c r="K43">
        <v>2.7460860665505082E-3</v>
      </c>
      <c r="L43">
        <v>0</v>
      </c>
      <c r="M43">
        <v>0</v>
      </c>
      <c r="N43">
        <v>2.3836385260047111E-3</v>
      </c>
      <c r="O43">
        <f t="shared" si="1"/>
        <v>8.9739474671544014E-3</v>
      </c>
      <c r="P43">
        <f t="shared" si="2"/>
        <v>2.2036360367735019</v>
      </c>
      <c r="Q43">
        <f t="shared" si="3"/>
        <v>0.26243650380006972</v>
      </c>
      <c r="R43">
        <f t="shared" si="4"/>
        <v>1.5335358634295104</v>
      </c>
      <c r="S43">
        <f t="shared" si="5"/>
        <v>4.1216145631154397</v>
      </c>
      <c r="T43">
        <f t="shared" si="6"/>
        <v>0</v>
      </c>
      <c r="U43">
        <f t="shared" si="7"/>
        <v>0</v>
      </c>
      <c r="V43">
        <f t="shared" si="8"/>
        <v>4.6398936526749472E-2</v>
      </c>
      <c r="W43">
        <f t="shared" si="9"/>
        <v>0.19891624825859752</v>
      </c>
      <c r="X43">
        <f t="shared" si="10"/>
        <v>2.3118468452470807E-2</v>
      </c>
      <c r="Y43">
        <f t="shared" si="11"/>
        <v>0</v>
      </c>
      <c r="Z43">
        <f t="shared" si="12"/>
        <v>0</v>
      </c>
      <c r="AA43">
        <f t="shared" si="13"/>
        <v>2.0067132176507251E-2</v>
      </c>
      <c r="AB43" s="2">
        <v>8.4186976999999992</v>
      </c>
    </row>
    <row r="44" spans="1:28" ht="16">
      <c r="A44" s="1" t="s">
        <v>55</v>
      </c>
      <c r="B44">
        <v>0</v>
      </c>
      <c r="C44">
        <v>8.2152532726553915E-2</v>
      </c>
      <c r="D44">
        <v>1.264629175369127E-2</v>
      </c>
      <c r="E44">
        <v>0.63327865262643379</v>
      </c>
      <c r="F44">
        <v>0.25356083557851761</v>
      </c>
      <c r="G44">
        <v>2.079694723749379E-3</v>
      </c>
      <c r="H44">
        <v>0</v>
      </c>
      <c r="I44">
        <v>1.0124341953956881E-2</v>
      </c>
      <c r="J44">
        <v>4.5102586730677128E-5</v>
      </c>
      <c r="K44">
        <v>1.667579735169854E-3</v>
      </c>
      <c r="L44">
        <v>0</v>
      </c>
      <c r="M44">
        <v>0</v>
      </c>
      <c r="N44">
        <v>4.4449683151967017E-3</v>
      </c>
      <c r="O44">
        <f t="shared" si="1"/>
        <v>0</v>
      </c>
      <c r="P44">
        <f t="shared" si="2"/>
        <v>0.56241386894541889</v>
      </c>
      <c r="Q44">
        <f t="shared" si="3"/>
        <v>8.657614850025333E-2</v>
      </c>
      <c r="R44">
        <f t="shared" si="4"/>
        <v>4.335407385791437</v>
      </c>
      <c r="S44">
        <f t="shared" si="5"/>
        <v>1.7358701651404249</v>
      </c>
      <c r="T44">
        <f t="shared" si="6"/>
        <v>1.4237530079595467E-2</v>
      </c>
      <c r="U44">
        <f t="shared" si="7"/>
        <v>0</v>
      </c>
      <c r="V44">
        <f t="shared" si="8"/>
        <v>6.9310952929523426E-2</v>
      </c>
      <c r="W44">
        <f t="shared" si="9"/>
        <v>3.0877100754858844E-4</v>
      </c>
      <c r="X44">
        <f t="shared" si="10"/>
        <v>1.1416202757297459E-2</v>
      </c>
      <c r="Y44">
        <f t="shared" si="11"/>
        <v>0</v>
      </c>
      <c r="Z44">
        <f t="shared" si="12"/>
        <v>0</v>
      </c>
      <c r="AA44">
        <f t="shared" si="13"/>
        <v>3.0430124848500724E-2</v>
      </c>
      <c r="AB44" s="2">
        <v>6.8459711499999996</v>
      </c>
    </row>
    <row r="45" spans="1:28" ht="16">
      <c r="A45" s="1" t="s">
        <v>56</v>
      </c>
      <c r="B45">
        <v>0</v>
      </c>
      <c r="C45">
        <v>0</v>
      </c>
      <c r="D45">
        <v>7.9870251737085961E-3</v>
      </c>
      <c r="E45">
        <v>0.31493216070428948</v>
      </c>
      <c r="F45">
        <v>0.65618203637881367</v>
      </c>
      <c r="G45">
        <v>1.379071834125392E-3</v>
      </c>
      <c r="H45">
        <v>0</v>
      </c>
      <c r="I45">
        <v>9.5956615666500829E-3</v>
      </c>
      <c r="J45">
        <v>0</v>
      </c>
      <c r="K45">
        <v>9.120187449422985E-3</v>
      </c>
      <c r="L45">
        <v>0</v>
      </c>
      <c r="M45">
        <v>0</v>
      </c>
      <c r="N45">
        <v>8.0385689298962174E-4</v>
      </c>
      <c r="O45">
        <f t="shared" si="1"/>
        <v>0</v>
      </c>
      <c r="P45">
        <f t="shared" si="2"/>
        <v>0</v>
      </c>
      <c r="Q45">
        <f t="shared" si="3"/>
        <v>5.3052916335767808E-2</v>
      </c>
      <c r="R45">
        <f t="shared" si="4"/>
        <v>2.0919014539088066</v>
      </c>
      <c r="S45">
        <f t="shared" si="5"/>
        <v>4.3586153692908178</v>
      </c>
      <c r="T45">
        <f t="shared" si="6"/>
        <v>9.1603295401780135E-3</v>
      </c>
      <c r="U45">
        <f t="shared" si="7"/>
        <v>0</v>
      </c>
      <c r="V45">
        <f t="shared" si="8"/>
        <v>6.3738102636460153E-2</v>
      </c>
      <c r="W45">
        <f t="shared" si="9"/>
        <v>0</v>
      </c>
      <c r="X45">
        <f t="shared" si="10"/>
        <v>6.0579819294107863E-2</v>
      </c>
      <c r="Y45">
        <f t="shared" si="11"/>
        <v>0</v>
      </c>
      <c r="Z45">
        <f t="shared" si="12"/>
        <v>0</v>
      </c>
      <c r="AA45">
        <f t="shared" si="13"/>
        <v>5.3395289938602385E-3</v>
      </c>
      <c r="AB45" s="2">
        <v>6.6423875199999998</v>
      </c>
    </row>
    <row r="46" spans="1:28" ht="16">
      <c r="A46" s="1" t="s">
        <v>57</v>
      </c>
      <c r="B46">
        <v>0</v>
      </c>
      <c r="C46">
        <v>0</v>
      </c>
      <c r="D46">
        <v>0</v>
      </c>
      <c r="E46">
        <v>0.9759960709917902</v>
      </c>
      <c r="F46">
        <v>0</v>
      </c>
      <c r="G46">
        <v>0</v>
      </c>
      <c r="H46">
        <v>3.3895950395098E-3</v>
      </c>
      <c r="I46">
        <v>1.481308414586114E-2</v>
      </c>
      <c r="J46">
        <v>0</v>
      </c>
      <c r="K46">
        <v>4.7538399044373472E-3</v>
      </c>
      <c r="L46">
        <v>0</v>
      </c>
      <c r="M46">
        <v>1.0474099184014909E-3</v>
      </c>
      <c r="N46">
        <v>0</v>
      </c>
      <c r="O46">
        <f t="shared" si="1"/>
        <v>0</v>
      </c>
      <c r="P46">
        <f t="shared" si="2"/>
        <v>0</v>
      </c>
      <c r="Q46">
        <f t="shared" si="3"/>
        <v>0</v>
      </c>
      <c r="R46">
        <f t="shared" si="4"/>
        <v>5.4314677742294837</v>
      </c>
      <c r="S46">
        <f t="shared" si="5"/>
        <v>0</v>
      </c>
      <c r="T46">
        <f t="shared" si="6"/>
        <v>0</v>
      </c>
      <c r="U46">
        <f t="shared" si="7"/>
        <v>1.8863268789675747E-2</v>
      </c>
      <c r="V46">
        <f t="shared" si="8"/>
        <v>8.2435566665176901E-2</v>
      </c>
      <c r="W46">
        <f t="shared" si="9"/>
        <v>0</v>
      </c>
      <c r="X46">
        <f t="shared" si="10"/>
        <v>2.6455360848491379E-2</v>
      </c>
      <c r="Y46">
        <f t="shared" si="11"/>
        <v>0</v>
      </c>
      <c r="Z46">
        <f t="shared" si="12"/>
        <v>5.828889467172747E-3</v>
      </c>
      <c r="AA46">
        <f t="shared" si="13"/>
        <v>0</v>
      </c>
      <c r="AB46" s="2">
        <v>5.5650508600000004</v>
      </c>
    </row>
    <row r="47" spans="1:28" ht="16">
      <c r="A47" s="1" t="s">
        <v>58</v>
      </c>
      <c r="B47">
        <v>0</v>
      </c>
      <c r="C47">
        <v>0</v>
      </c>
      <c r="D47">
        <v>0</v>
      </c>
      <c r="E47">
        <v>0.87391208691759614</v>
      </c>
      <c r="F47">
        <v>0</v>
      </c>
      <c r="G47">
        <v>0</v>
      </c>
      <c r="H47">
        <v>8.7602219887397234E-2</v>
      </c>
      <c r="I47">
        <v>3.7599661576578618E-2</v>
      </c>
      <c r="J47">
        <v>0</v>
      </c>
      <c r="K47">
        <v>6.6323640123008238E-5</v>
      </c>
      <c r="L47">
        <v>0</v>
      </c>
      <c r="M47">
        <v>8.1970797830516293E-4</v>
      </c>
      <c r="N47">
        <v>0</v>
      </c>
      <c r="O47">
        <f t="shared" si="1"/>
        <v>0</v>
      </c>
      <c r="P47">
        <f t="shared" si="2"/>
        <v>0</v>
      </c>
      <c r="Q47">
        <f t="shared" si="3"/>
        <v>0</v>
      </c>
      <c r="R47">
        <f t="shared" si="4"/>
        <v>5.0058160008988821</v>
      </c>
      <c r="S47">
        <f t="shared" si="5"/>
        <v>0</v>
      </c>
      <c r="T47">
        <f t="shared" si="6"/>
        <v>0</v>
      </c>
      <c r="U47">
        <f t="shared" si="7"/>
        <v>0.50179028370383982</v>
      </c>
      <c r="V47">
        <f t="shared" si="8"/>
        <v>0.21537290806022194</v>
      </c>
      <c r="W47">
        <f t="shared" si="9"/>
        <v>0</v>
      </c>
      <c r="X47">
        <f t="shared" si="10"/>
        <v>3.7990542062032312E-4</v>
      </c>
      <c r="Y47">
        <f t="shared" si="11"/>
        <v>0</v>
      </c>
      <c r="Z47">
        <f t="shared" si="12"/>
        <v>4.695331916437233E-3</v>
      </c>
      <c r="AA47">
        <f t="shared" si="13"/>
        <v>0</v>
      </c>
      <c r="AB47" s="2">
        <v>5.7280544300000003</v>
      </c>
    </row>
    <row r="48" spans="1:28" ht="16">
      <c r="A48" s="1" t="s">
        <v>59</v>
      </c>
      <c r="B48">
        <v>1.7894345330534051E-2</v>
      </c>
      <c r="C48">
        <v>0</v>
      </c>
      <c r="D48">
        <v>4.1023606767523979E-2</v>
      </c>
      <c r="E48">
        <v>0.86135960978889914</v>
      </c>
      <c r="F48">
        <v>0</v>
      </c>
      <c r="G48">
        <v>1.8482593606910661E-3</v>
      </c>
      <c r="H48">
        <v>2.64268339164122E-2</v>
      </c>
      <c r="I48">
        <v>4.577039533401106E-3</v>
      </c>
      <c r="J48">
        <v>2.4034741451123661E-2</v>
      </c>
      <c r="K48">
        <v>0</v>
      </c>
      <c r="L48">
        <v>1.295252919270443E-2</v>
      </c>
      <c r="M48">
        <v>9.4227193722372961E-3</v>
      </c>
      <c r="N48">
        <v>4.6031528647309821E-4</v>
      </c>
      <c r="O48">
        <f t="shared" si="1"/>
        <v>0.10219063417484694</v>
      </c>
      <c r="P48">
        <f t="shared" si="2"/>
        <v>0</v>
      </c>
      <c r="Q48">
        <f t="shared" si="3"/>
        <v>0.23427671223933527</v>
      </c>
      <c r="R48">
        <f t="shared" si="4"/>
        <v>4.9190335355118187</v>
      </c>
      <c r="S48">
        <f t="shared" si="5"/>
        <v>0</v>
      </c>
      <c r="T48">
        <f t="shared" si="6"/>
        <v>1.0554998950776386E-2</v>
      </c>
      <c r="U48">
        <f t="shared" si="7"/>
        <v>0.15091778253230564</v>
      </c>
      <c r="V48">
        <f t="shared" si="8"/>
        <v>2.6138456809788487E-2</v>
      </c>
      <c r="W48">
        <f t="shared" si="9"/>
        <v>0.13725707343580731</v>
      </c>
      <c r="X48">
        <f t="shared" si="10"/>
        <v>0</v>
      </c>
      <c r="Y48">
        <f t="shared" si="11"/>
        <v>7.3969019146630094E-2</v>
      </c>
      <c r="Z48">
        <f t="shared" si="12"/>
        <v>5.3811058773828142E-2</v>
      </c>
      <c r="AA48">
        <f t="shared" si="13"/>
        <v>2.6287584248637255E-3</v>
      </c>
      <c r="AB48" s="2">
        <v>5.7107780300000002</v>
      </c>
    </row>
    <row r="49" spans="1:28" ht="16">
      <c r="A49" s="1" t="s">
        <v>60</v>
      </c>
      <c r="B49">
        <v>0</v>
      </c>
      <c r="C49">
        <v>0</v>
      </c>
      <c r="D49">
        <v>3.03071776804041E-3</v>
      </c>
      <c r="E49">
        <v>0.40459709233111169</v>
      </c>
      <c r="F49">
        <v>0.52824706543472488</v>
      </c>
      <c r="G49">
        <v>3.685345588370643E-3</v>
      </c>
      <c r="H49">
        <v>3.7113121582830477E-2</v>
      </c>
      <c r="I49">
        <v>1.527079879605356E-2</v>
      </c>
      <c r="J49">
        <v>6.5784566268205467E-3</v>
      </c>
      <c r="K49">
        <v>7.2571143302078804E-4</v>
      </c>
      <c r="L49">
        <v>0</v>
      </c>
      <c r="M49">
        <v>7.5169043902710618E-4</v>
      </c>
      <c r="N49">
        <v>0</v>
      </c>
      <c r="O49">
        <f t="shared" si="1"/>
        <v>0</v>
      </c>
      <c r="P49">
        <f t="shared" si="2"/>
        <v>0</v>
      </c>
      <c r="Q49">
        <f t="shared" si="3"/>
        <v>1.3664259154503951E-2</v>
      </c>
      <c r="R49">
        <f t="shared" si="4"/>
        <v>1.8241617814336049</v>
      </c>
      <c r="S49">
        <f t="shared" si="5"/>
        <v>2.3816486232478655</v>
      </c>
      <c r="T49">
        <f t="shared" si="6"/>
        <v>1.6615706590839791E-2</v>
      </c>
      <c r="U49">
        <f t="shared" si="7"/>
        <v>0.16732779168292644</v>
      </c>
      <c r="V49">
        <f t="shared" si="8"/>
        <v>6.8849747226868985E-2</v>
      </c>
      <c r="W49">
        <f t="shared" si="9"/>
        <v>2.9659553632293646E-2</v>
      </c>
      <c r="X49">
        <f t="shared" si="10"/>
        <v>3.2719341922075882E-3</v>
      </c>
      <c r="Y49">
        <f t="shared" si="11"/>
        <v>0</v>
      </c>
      <c r="Z49">
        <f t="shared" si="12"/>
        <v>3.3890628388899449E-3</v>
      </c>
      <c r="AA49">
        <f t="shared" si="13"/>
        <v>0</v>
      </c>
      <c r="AB49" s="2">
        <v>4.5085884600000004</v>
      </c>
    </row>
    <row r="50" spans="1:28" ht="16">
      <c r="A50" s="1" t="s">
        <v>61</v>
      </c>
      <c r="B50">
        <v>0.2736818885863081</v>
      </c>
      <c r="C50">
        <v>0.45665431770034259</v>
      </c>
      <c r="D50">
        <v>5.1798686387016117E-2</v>
      </c>
      <c r="E50">
        <v>2.896362841142576E-2</v>
      </c>
      <c r="F50">
        <v>0.17411654752988459</v>
      </c>
      <c r="G50">
        <v>0</v>
      </c>
      <c r="H50">
        <v>0</v>
      </c>
      <c r="I50">
        <v>6.4942401578030242E-3</v>
      </c>
      <c r="J50">
        <v>0</v>
      </c>
      <c r="K50">
        <v>0</v>
      </c>
      <c r="L50">
        <v>0</v>
      </c>
      <c r="M50">
        <v>0</v>
      </c>
      <c r="N50">
        <v>8.290691227219817E-3</v>
      </c>
      <c r="O50">
        <f t="shared" si="1"/>
        <v>2.2833190333937172</v>
      </c>
      <c r="P50">
        <f t="shared" si="2"/>
        <v>3.8098520171450532</v>
      </c>
      <c r="Q50">
        <f t="shared" si="3"/>
        <v>0.43215474411989624</v>
      </c>
      <c r="R50">
        <f t="shared" si="4"/>
        <v>0.24164260327769463</v>
      </c>
      <c r="S50">
        <f t="shared" si="5"/>
        <v>1.4526486537248955</v>
      </c>
      <c r="T50">
        <f t="shared" si="6"/>
        <v>0</v>
      </c>
      <c r="U50">
        <f t="shared" si="7"/>
        <v>0</v>
      </c>
      <c r="V50">
        <f t="shared" si="8"/>
        <v>5.4181232950185461E-2</v>
      </c>
      <c r="W50">
        <f t="shared" si="9"/>
        <v>0</v>
      </c>
      <c r="X50">
        <f t="shared" si="10"/>
        <v>0</v>
      </c>
      <c r="Y50">
        <f t="shared" si="11"/>
        <v>0</v>
      </c>
      <c r="Z50">
        <f t="shared" si="12"/>
        <v>0</v>
      </c>
      <c r="AA50">
        <f t="shared" si="13"/>
        <v>6.9168965388557241E-2</v>
      </c>
      <c r="AB50" s="2">
        <v>8.3429672499999992</v>
      </c>
    </row>
    <row r="51" spans="1:28" ht="16">
      <c r="A51" s="1" t="s">
        <v>62</v>
      </c>
      <c r="B51">
        <v>0</v>
      </c>
      <c r="C51">
        <v>0</v>
      </c>
      <c r="D51">
        <v>0</v>
      </c>
      <c r="E51">
        <v>0.89371841808773822</v>
      </c>
      <c r="F51">
        <v>0</v>
      </c>
      <c r="G51">
        <v>0</v>
      </c>
      <c r="H51">
        <v>6.6360033050589295E-2</v>
      </c>
      <c r="I51">
        <v>3.5198462847048639E-2</v>
      </c>
      <c r="J51">
        <v>0</v>
      </c>
      <c r="K51">
        <v>2.731660000660593E-3</v>
      </c>
      <c r="L51">
        <v>0</v>
      </c>
      <c r="M51">
        <v>1.991426013963204E-3</v>
      </c>
      <c r="N51">
        <v>0</v>
      </c>
      <c r="O51">
        <f t="shared" si="1"/>
        <v>0</v>
      </c>
      <c r="P51">
        <f t="shared" si="2"/>
        <v>0</v>
      </c>
      <c r="Q51">
        <f t="shared" si="3"/>
        <v>0</v>
      </c>
      <c r="R51">
        <f t="shared" si="4"/>
        <v>4.8883844652109856</v>
      </c>
      <c r="S51">
        <f t="shared" si="5"/>
        <v>0</v>
      </c>
      <c r="T51">
        <f t="shared" si="6"/>
        <v>0</v>
      </c>
      <c r="U51">
        <f t="shared" si="7"/>
        <v>0.36297042570688287</v>
      </c>
      <c r="V51">
        <f t="shared" si="8"/>
        <v>0.19252553768442843</v>
      </c>
      <c r="W51">
        <f t="shared" si="9"/>
        <v>0</v>
      </c>
      <c r="X51">
        <f t="shared" si="10"/>
        <v>1.4941399932250856E-2</v>
      </c>
      <c r="Y51">
        <f t="shared" si="11"/>
        <v>0</v>
      </c>
      <c r="Z51">
        <f t="shared" si="12"/>
        <v>1.0892531465452097E-2</v>
      </c>
      <c r="AA51">
        <f t="shared" si="13"/>
        <v>0</v>
      </c>
      <c r="AB51" s="2">
        <v>5.4697143600000002</v>
      </c>
    </row>
    <row r="52" spans="1:28" ht="16">
      <c r="A52" s="1" t="s">
        <v>63</v>
      </c>
      <c r="B52">
        <v>0</v>
      </c>
      <c r="C52">
        <v>0</v>
      </c>
      <c r="D52">
        <v>0</v>
      </c>
      <c r="E52">
        <v>0.90950170027007626</v>
      </c>
      <c r="F52">
        <v>0</v>
      </c>
      <c r="G52">
        <v>0</v>
      </c>
      <c r="H52">
        <v>5.5949254973942333E-2</v>
      </c>
      <c r="I52">
        <v>3.0452015769354981E-2</v>
      </c>
      <c r="J52">
        <v>5.0764846838702337E-4</v>
      </c>
      <c r="K52">
        <v>1.047234412435698E-3</v>
      </c>
      <c r="L52">
        <v>0</v>
      </c>
      <c r="M52">
        <v>2.5421461058037142E-3</v>
      </c>
      <c r="N52">
        <v>0</v>
      </c>
      <c r="O52">
        <f t="shared" si="1"/>
        <v>0</v>
      </c>
      <c r="P52">
        <f t="shared" si="2"/>
        <v>0</v>
      </c>
      <c r="Q52">
        <f t="shared" si="3"/>
        <v>0</v>
      </c>
      <c r="R52">
        <f t="shared" si="4"/>
        <v>4.9681186949410892</v>
      </c>
      <c r="S52">
        <f t="shared" si="5"/>
        <v>0</v>
      </c>
      <c r="T52">
        <f t="shared" si="6"/>
        <v>0</v>
      </c>
      <c r="U52">
        <f t="shared" si="7"/>
        <v>0.30562069265129216</v>
      </c>
      <c r="V52">
        <f t="shared" si="8"/>
        <v>0.16634298627198613</v>
      </c>
      <c r="W52">
        <f t="shared" si="9"/>
        <v>2.7730105897579489E-3</v>
      </c>
      <c r="X52">
        <f t="shared" si="10"/>
        <v>5.7204784343585866E-3</v>
      </c>
      <c r="Y52">
        <f t="shared" si="11"/>
        <v>0</v>
      </c>
      <c r="Z52">
        <f t="shared" si="12"/>
        <v>1.3886377111515833E-2</v>
      </c>
      <c r="AA52">
        <f t="shared" si="13"/>
        <v>0</v>
      </c>
      <c r="AB52" s="2">
        <v>5.4624622399999998</v>
      </c>
    </row>
    <row r="53" spans="1:28" ht="16">
      <c r="A53" s="1" t="s">
        <v>64</v>
      </c>
      <c r="B53">
        <v>0</v>
      </c>
      <c r="C53">
        <v>8.9121817693182573E-2</v>
      </c>
      <c r="D53">
        <v>1.203581505116396E-2</v>
      </c>
      <c r="E53">
        <v>0.1354442132237785</v>
      </c>
      <c r="F53">
        <v>0.74702680912736807</v>
      </c>
      <c r="G53">
        <v>0</v>
      </c>
      <c r="H53">
        <v>0</v>
      </c>
      <c r="I53">
        <v>0</v>
      </c>
      <c r="J53">
        <v>0</v>
      </c>
      <c r="K53">
        <v>1.5670855568828069E-2</v>
      </c>
      <c r="L53">
        <v>0</v>
      </c>
      <c r="M53">
        <v>0</v>
      </c>
      <c r="N53">
        <v>7.0048933567885775E-4</v>
      </c>
      <c r="O53">
        <f t="shared" si="1"/>
        <v>0</v>
      </c>
      <c r="P53">
        <f t="shared" si="2"/>
        <v>0.72145035259393497</v>
      </c>
      <c r="Q53">
        <f t="shared" si="3"/>
        <v>9.7431170471760462E-2</v>
      </c>
      <c r="R53">
        <f t="shared" si="4"/>
        <v>1.0964349461936298</v>
      </c>
      <c r="S53">
        <f t="shared" si="5"/>
        <v>6.0472594566850786</v>
      </c>
      <c r="T53">
        <f t="shared" si="6"/>
        <v>0</v>
      </c>
      <c r="U53">
        <f t="shared" si="7"/>
        <v>0</v>
      </c>
      <c r="V53">
        <f t="shared" si="8"/>
        <v>0</v>
      </c>
      <c r="W53">
        <f t="shared" si="9"/>
        <v>0</v>
      </c>
      <c r="X53">
        <f t="shared" si="10"/>
        <v>0.12685720027055147</v>
      </c>
      <c r="Y53">
        <f t="shared" si="11"/>
        <v>0</v>
      </c>
      <c r="Z53">
        <f t="shared" si="12"/>
        <v>0</v>
      </c>
      <c r="AA53">
        <f t="shared" si="13"/>
        <v>5.6705337850448895E-3</v>
      </c>
      <c r="AB53" s="2">
        <v>8.0951036599999995</v>
      </c>
    </row>
    <row r="54" spans="1:28" ht="16">
      <c r="A54" s="1" t="s">
        <v>65</v>
      </c>
      <c r="B54">
        <v>2.5961082635230129E-2</v>
      </c>
      <c r="C54">
        <v>0.1020808607889786</v>
      </c>
      <c r="D54">
        <v>3.955463429056072E-2</v>
      </c>
      <c r="E54">
        <v>0.80354079768407616</v>
      </c>
      <c r="F54">
        <v>0</v>
      </c>
      <c r="G54">
        <v>0</v>
      </c>
      <c r="H54">
        <v>0</v>
      </c>
      <c r="I54">
        <v>2.7341088896606501E-3</v>
      </c>
      <c r="J54">
        <v>2.350790452275649E-2</v>
      </c>
      <c r="K54">
        <v>2.6206111887373449E-3</v>
      </c>
      <c r="L54">
        <v>0</v>
      </c>
      <c r="M54">
        <v>0</v>
      </c>
      <c r="N54">
        <v>0</v>
      </c>
      <c r="O54">
        <f t="shared" si="1"/>
        <v>0.14652175013120208</v>
      </c>
      <c r="P54">
        <f t="shared" si="2"/>
        <v>0.57613415387397859</v>
      </c>
      <c r="Q54">
        <f t="shared" si="3"/>
        <v>0.22324239414375413</v>
      </c>
      <c r="R54">
        <f t="shared" si="4"/>
        <v>4.5351037794826299</v>
      </c>
      <c r="S54">
        <f t="shared" si="5"/>
        <v>0</v>
      </c>
      <c r="T54">
        <f t="shared" si="6"/>
        <v>0</v>
      </c>
      <c r="U54">
        <f t="shared" si="7"/>
        <v>0</v>
      </c>
      <c r="V54">
        <f t="shared" si="8"/>
        <v>1.5431036724898319E-2</v>
      </c>
      <c r="W54">
        <f t="shared" si="9"/>
        <v>0.13267625857472062</v>
      </c>
      <c r="X54">
        <f t="shared" si="10"/>
        <v>1.4790467068816909E-2</v>
      </c>
      <c r="Y54">
        <f t="shared" si="11"/>
        <v>0</v>
      </c>
      <c r="Z54">
        <f t="shared" si="12"/>
        <v>0</v>
      </c>
      <c r="AA54">
        <f t="shared" si="13"/>
        <v>0</v>
      </c>
      <c r="AB54" s="2">
        <v>5.6438998399999996</v>
      </c>
    </row>
    <row r="55" spans="1:28" ht="16">
      <c r="A55" s="1" t="s">
        <v>66</v>
      </c>
      <c r="B55">
        <v>0</v>
      </c>
      <c r="C55">
        <v>0.12750991379803359</v>
      </c>
      <c r="D55">
        <v>2.69437577180065E-2</v>
      </c>
      <c r="E55">
        <v>0.47423191138614829</v>
      </c>
      <c r="F55">
        <v>0.35655394754886571</v>
      </c>
      <c r="G55">
        <v>3.100225302466566E-3</v>
      </c>
      <c r="H55">
        <v>0</v>
      </c>
      <c r="I55">
        <v>2.9282549262165062E-3</v>
      </c>
      <c r="J55">
        <v>0</v>
      </c>
      <c r="K55">
        <v>8.3887878544085717E-3</v>
      </c>
      <c r="L55">
        <v>0</v>
      </c>
      <c r="M55">
        <v>0</v>
      </c>
      <c r="N55">
        <v>3.4320146585410031E-4</v>
      </c>
      <c r="O55">
        <f t="shared" si="1"/>
        <v>0</v>
      </c>
      <c r="P55">
        <f t="shared" si="2"/>
        <v>0.89346918304394229</v>
      </c>
      <c r="Q55">
        <f t="shared" si="3"/>
        <v>0.18879643534675838</v>
      </c>
      <c r="R55">
        <f t="shared" si="4"/>
        <v>3.3229698446089255</v>
      </c>
      <c r="S55">
        <f t="shared" si="5"/>
        <v>2.4983936914283333</v>
      </c>
      <c r="T55">
        <f t="shared" si="6"/>
        <v>2.1723454167135347E-2</v>
      </c>
      <c r="U55">
        <f t="shared" si="7"/>
        <v>0</v>
      </c>
      <c r="V55">
        <f t="shared" si="8"/>
        <v>2.0518448007227883E-2</v>
      </c>
      <c r="W55">
        <f t="shared" si="9"/>
        <v>0</v>
      </c>
      <c r="X55">
        <f t="shared" si="10"/>
        <v>5.8780711301233426E-2</v>
      </c>
      <c r="Y55">
        <f t="shared" si="11"/>
        <v>0</v>
      </c>
      <c r="Z55">
        <f t="shared" si="12"/>
        <v>0</v>
      </c>
      <c r="AA55">
        <f t="shared" si="13"/>
        <v>2.4048320964426485E-3</v>
      </c>
      <c r="AB55" s="2">
        <v>7.0070566000000003</v>
      </c>
    </row>
    <row r="56" spans="1:28" ht="16">
      <c r="A56" s="1" t="s">
        <v>67</v>
      </c>
      <c r="B56">
        <v>0</v>
      </c>
      <c r="C56">
        <v>0.35998790903366112</v>
      </c>
      <c r="D56">
        <v>2.4530748554009239E-2</v>
      </c>
      <c r="E56">
        <v>0.39673840738573252</v>
      </c>
      <c r="F56">
        <v>0.20912478239744109</v>
      </c>
      <c r="G56">
        <v>0</v>
      </c>
      <c r="H56">
        <v>0</v>
      </c>
      <c r="I56">
        <v>3.7173546644111411E-3</v>
      </c>
      <c r="J56">
        <v>0</v>
      </c>
      <c r="K56">
        <v>5.8374760654101802E-3</v>
      </c>
      <c r="L56">
        <v>0</v>
      </c>
      <c r="M56">
        <v>0</v>
      </c>
      <c r="N56">
        <v>6.3321899334894369E-5</v>
      </c>
      <c r="O56">
        <f t="shared" si="1"/>
        <v>0</v>
      </c>
      <c r="P56">
        <f t="shared" si="2"/>
        <v>2.25600704276283</v>
      </c>
      <c r="Q56">
        <f t="shared" si="3"/>
        <v>0.15373166740695776</v>
      </c>
      <c r="R56">
        <f t="shared" si="4"/>
        <v>2.486318619976287</v>
      </c>
      <c r="S56">
        <f t="shared" si="5"/>
        <v>1.3105634107859896</v>
      </c>
      <c r="T56">
        <f t="shared" si="6"/>
        <v>0</v>
      </c>
      <c r="U56">
        <f t="shared" si="7"/>
        <v>0</v>
      </c>
      <c r="V56">
        <f t="shared" si="8"/>
        <v>2.3296277716301335E-2</v>
      </c>
      <c r="W56">
        <f t="shared" si="9"/>
        <v>0</v>
      </c>
      <c r="X56">
        <f t="shared" si="10"/>
        <v>3.6582859549022802E-2</v>
      </c>
      <c r="Y56">
        <f t="shared" si="11"/>
        <v>0</v>
      </c>
      <c r="Z56">
        <f t="shared" si="12"/>
        <v>0</v>
      </c>
      <c r="AA56">
        <f t="shared" si="13"/>
        <v>3.9683180261280071E-4</v>
      </c>
      <c r="AB56" s="2">
        <v>6.2668967100000001</v>
      </c>
    </row>
  </sheetData>
  <mergeCells count="2">
    <mergeCell ref="B1:N1"/>
    <mergeCell ref="O1:AA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2025-05-27T11:28:50Z</dcterms:created>
  <dcterms:modified xsi:type="dcterms:W3CDTF">2025-08-15T10:24:50Z</dcterms:modified>
</cp:coreProperties>
</file>